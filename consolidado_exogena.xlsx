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acuerdode-my.sharepoint.com/personal/sistemas_eso_gov_co/Documents/Preparador de exogenas/"/>
    </mc:Choice>
  </mc:AlternateContent>
  <xr:revisionPtr revIDLastSave="4" documentId="11_DED3D2D982F86F051BAF2977D4CDF24E5AC86299" xr6:coauthVersionLast="47" xr6:coauthVersionMax="47" xr10:uidLastSave="{C1559A69-1685-48E9-8DA0-10840E943758}"/>
  <bookViews>
    <workbookView xWindow="-108" yWindow="-108" windowWidth="23256" windowHeight="12456" xr2:uid="{00000000-000D-0000-FFFF-FFFF00000000}"/>
  </bookViews>
  <sheets>
    <sheet name="Ingresos" sheetId="1" r:id="rId1"/>
    <sheet name="Notas Crédito" sheetId="2" r:id="rId2"/>
    <sheet name="Devoluciones" sheetId="3" r:id="rId3"/>
    <sheet name="Gastos" sheetId="4" r:id="rId4"/>
    <sheet name="Gastos Excluidos" sheetId="5" r:id="rId5"/>
    <sheet name="Nomina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" i="6" l="1"/>
</calcChain>
</file>

<file path=xl/sharedStrings.xml><?xml version="1.0" encoding="utf-8"?>
<sst xmlns="http://schemas.openxmlformats.org/spreadsheetml/2006/main" count="460" uniqueCount="362">
  <si>
    <t>NIT Receptor</t>
  </si>
  <si>
    <t>DV</t>
  </si>
  <si>
    <t>Nombre Receptor</t>
  </si>
  <si>
    <t>Base</t>
  </si>
  <si>
    <t>IVA</t>
  </si>
  <si>
    <t>Total</t>
  </si>
  <si>
    <t>1010169199</t>
  </si>
  <si>
    <t>NESTOR CORTES VALENZUELA IVAN</t>
  </si>
  <si>
    <t>1012318904</t>
  </si>
  <si>
    <t>DIANA MILENA RODRIGUEZ MERCHAN</t>
  </si>
  <si>
    <t>1013613230</t>
  </si>
  <si>
    <t>CRISTHIAN CAMILO CAVANZO MOLINA</t>
  </si>
  <si>
    <t>1016014140</t>
  </si>
  <si>
    <t>CAMILA ANDREA BERNAL GARCIA</t>
  </si>
  <si>
    <t>1017137173</t>
  </si>
  <si>
    <t>MARICELA LONDOÑO</t>
  </si>
  <si>
    <t>1018438579</t>
  </si>
  <si>
    <t>ERIKA ALEXANDRA MONTAÑA VALDERRAMA</t>
  </si>
  <si>
    <t>1020425332</t>
  </si>
  <si>
    <t>VIVIANA HERNANDEZ CALDERON</t>
  </si>
  <si>
    <t>1020477099</t>
  </si>
  <si>
    <t>NATALIA TORO RAIGOSA</t>
  </si>
  <si>
    <t>1026130870</t>
  </si>
  <si>
    <t>JAVIER MAURICIO PATIÑO MESA</t>
  </si>
  <si>
    <t>1030556367</t>
  </si>
  <si>
    <t>ANA MAYERLY MERCHAN LAVAO</t>
  </si>
  <si>
    <t>1035022907</t>
  </si>
  <si>
    <t>Vicente Velasquez Lenis</t>
  </si>
  <si>
    <t>1036267988</t>
  </si>
  <si>
    <t>Macarena Gomez Angarita</t>
  </si>
  <si>
    <t>1036392901</t>
  </si>
  <si>
    <t>MARIA FERNANDA RENDON VARGAS</t>
  </si>
  <si>
    <t>1036611818</t>
  </si>
  <si>
    <t xml:space="preserve">Catalina Urrego Betancur </t>
  </si>
  <si>
    <t>1036929353</t>
  </si>
  <si>
    <t>MARIBEL RUIZ HENAO</t>
  </si>
  <si>
    <t>1036938925</t>
  </si>
  <si>
    <t>JOHANA ALEXANDRA GALLEGO GALLEGO</t>
  </si>
  <si>
    <t>1036942917</t>
  </si>
  <si>
    <t>Jose Mateo Castaño Gómez</t>
  </si>
  <si>
    <t>1036945521</t>
  </si>
  <si>
    <t>JULIANA HECHEVERRI GIRALDO</t>
  </si>
  <si>
    <t>1036945558</t>
  </si>
  <si>
    <t>MATEO JARAMILLO CASTAÑO</t>
  </si>
  <si>
    <t>1036953271</t>
  </si>
  <si>
    <t xml:space="preserve">Maria Camila  Vanegas Molina </t>
  </si>
  <si>
    <t>1036958714</t>
  </si>
  <si>
    <t>SONIA MARIA LOPEZ URIBE</t>
  </si>
  <si>
    <t>1036961320</t>
  </si>
  <si>
    <t>ALEJANDRA JARAMILLO MARIN</t>
  </si>
  <si>
    <t>1037597570</t>
  </si>
  <si>
    <t>NICOLÁS MESA FERNANDEZ</t>
  </si>
  <si>
    <t>1037600980</t>
  </si>
  <si>
    <t>LAURA MILENA ACEVEDO OROZCO</t>
  </si>
  <si>
    <t>Laura Acevedo Orozco</t>
  </si>
  <si>
    <t>1037608384</t>
  </si>
  <si>
    <t>LAURA GOMEZ URIBE</t>
  </si>
  <si>
    <t>1037610006</t>
  </si>
  <si>
    <t>GABRIEL PEREZ ARANGO</t>
  </si>
  <si>
    <t>1038408852</t>
  </si>
  <si>
    <t>LUIS ENRIQUE MUÑOZ RAMIREZ</t>
  </si>
  <si>
    <t>1039475581</t>
  </si>
  <si>
    <t>JULIAN TIBANA LONDOÑO</t>
  </si>
  <si>
    <t>1040045620</t>
  </si>
  <si>
    <t>MARIA MONICA VEGA CARDONA</t>
  </si>
  <si>
    <t>1040053061</t>
  </si>
  <si>
    <t>AVRIL JURADO JIMENEZ</t>
  </si>
  <si>
    <t>1040182592</t>
  </si>
  <si>
    <t>CAROLINA DIAZ CORREA</t>
  </si>
  <si>
    <t>1045020963</t>
  </si>
  <si>
    <t>MARIA CAROLINA  ALEMAN</t>
  </si>
  <si>
    <t>1047450240</t>
  </si>
  <si>
    <t>DIANA GIRALDO</t>
  </si>
  <si>
    <t>1053785173</t>
  </si>
  <si>
    <t>DANIELA RODRIGUEZ NARANJO</t>
  </si>
  <si>
    <t>1053829144</t>
  </si>
  <si>
    <t>LINA MARCELA DIAZ ALARCON</t>
  </si>
  <si>
    <t>1053831496</t>
  </si>
  <si>
    <t>GERALDINE CAMILA ORTEGA GOMEZ</t>
  </si>
  <si>
    <t>1072712226</t>
  </si>
  <si>
    <t>SANTIAGO ACERO</t>
  </si>
  <si>
    <t>1093217348</t>
  </si>
  <si>
    <t>MARGARITA MARIA MARTINEZ ARANGO</t>
  </si>
  <si>
    <t>1098625333</t>
  </si>
  <si>
    <t>DAYAN LISSET ANGULO JIMENEZ</t>
  </si>
  <si>
    <t>1098722158</t>
  </si>
  <si>
    <t>LAURA JULIANA COLMENARES COLMENARES</t>
  </si>
  <si>
    <t>1122143189</t>
  </si>
  <si>
    <t>MARIA CAMILA VARGAS TOVAR</t>
  </si>
  <si>
    <t>1128044337</t>
  </si>
  <si>
    <t>GINA MARGARITA   MENDOZA LAFAURIE</t>
  </si>
  <si>
    <t>1128281491</t>
  </si>
  <si>
    <t>JUANITA JARAMILLO SIERRA</t>
  </si>
  <si>
    <t>1128393521</t>
  </si>
  <si>
    <t>TATIANA YEPES</t>
  </si>
  <si>
    <t>1128437204</t>
  </si>
  <si>
    <t>KAREN  MARTINEZ VILLA</t>
  </si>
  <si>
    <t>1143060</t>
  </si>
  <si>
    <t>PEDRO JAVIER ALMAZAN BERNAL</t>
  </si>
  <si>
    <t>1146435015</t>
  </si>
  <si>
    <t>GERALDINE ECHAVARRIA CORTES</t>
  </si>
  <si>
    <t>1152221575</t>
  </si>
  <si>
    <t>ARIAS HERRERA SARA</t>
  </si>
  <si>
    <t>SARA ARIAS HERRERA</t>
  </si>
  <si>
    <t>1152445837</t>
  </si>
  <si>
    <t>LAURA GIRALDO MUÑOZ</t>
  </si>
  <si>
    <t>1152684573</t>
  </si>
  <si>
    <t>YESICA JIMÉNEZ GAVIRIA</t>
  </si>
  <si>
    <t>1152688368</t>
  </si>
  <si>
    <t>ASTRID VIVIANA RAMIREZ FRANCO</t>
  </si>
  <si>
    <t>15519156</t>
  </si>
  <si>
    <t>CRISTIAN DAVID ARANGO MUÑOZ</t>
  </si>
  <si>
    <t>32242003</t>
  </si>
  <si>
    <t>NATALIA MOLINA FRANCO</t>
  </si>
  <si>
    <t>37751688</t>
  </si>
  <si>
    <t>YANETH CAROLINA VALENCIA AREVALO</t>
  </si>
  <si>
    <t>39450541</t>
  </si>
  <si>
    <t xml:space="preserve">Jasbreydi   Mejía Castrillón </t>
  </si>
  <si>
    <t>39457364</t>
  </si>
  <si>
    <t>LUISA FERNANDA VARGAS OSPINA</t>
  </si>
  <si>
    <t>44003941</t>
  </si>
  <si>
    <t>LAURA CRISTINA ORTIZ PEREZ</t>
  </si>
  <si>
    <t>71295817</t>
  </si>
  <si>
    <t>EUSSE TORRES ANDRES MAURICIO</t>
  </si>
  <si>
    <t>71370971</t>
  </si>
  <si>
    <t>CARDONA EDUARDO CARREÑO</t>
  </si>
  <si>
    <t>7320127</t>
  </si>
  <si>
    <t>YORFAN EDUARDO VILLAMIL NIÑO</t>
  </si>
  <si>
    <t>7370971</t>
  </si>
  <si>
    <t>7442864</t>
  </si>
  <si>
    <t>ANASTASIA LAPTEVA</t>
  </si>
  <si>
    <t>79587803</t>
  </si>
  <si>
    <t>GILBERTO ALEXANDER ARIAS LOPERA</t>
  </si>
  <si>
    <t>79981782</t>
  </si>
  <si>
    <t>SARMIENTO GONZALEZ FREDY ALONSO</t>
  </si>
  <si>
    <t>8063852</t>
  </si>
  <si>
    <t xml:space="preserve"> DAVID FERNANDO BUSTAMANTE </t>
  </si>
  <si>
    <t>8070301</t>
  </si>
  <si>
    <t>LUIS DANIEL CANO HERRERA</t>
  </si>
  <si>
    <t>900995500</t>
  </si>
  <si>
    <t>CICLO TOTAL S A S E.S.P</t>
  </si>
  <si>
    <t>901368527</t>
  </si>
  <si>
    <t>IPSUM DESARROLLO DE PROYECTOS S.A.S.</t>
  </si>
  <si>
    <t>PSUM DESARROLLO DE PROYECTOS S.A.S.</t>
  </si>
  <si>
    <t>901588971</t>
  </si>
  <si>
    <t>TRADICION CAFETERA S.A.S.</t>
  </si>
  <si>
    <t>901607138</t>
  </si>
  <si>
    <t>RED FOTOGRAFIA S.A.S.</t>
  </si>
  <si>
    <t>901816985</t>
  </si>
  <si>
    <t>CERI SAS</t>
  </si>
  <si>
    <t>901852768</t>
  </si>
  <si>
    <t>VOLO SERVICES S.A.S</t>
  </si>
  <si>
    <t>A06091408</t>
  </si>
  <si>
    <t>LUCY ANNE OTTO</t>
  </si>
  <si>
    <t>NIT Emisor</t>
  </si>
  <si>
    <t>Nombre Emisor</t>
  </si>
  <si>
    <t>800251720</t>
  </si>
  <si>
    <t>SOCIEDAD EDUCATIVA HORIZONTES LTDA</t>
  </si>
  <si>
    <t>811045607</t>
  </si>
  <si>
    <t>INVERSIONES EURO SA</t>
  </si>
  <si>
    <t>890900608</t>
  </si>
  <si>
    <t>ALMACENES EXITO S A</t>
  </si>
  <si>
    <t>ALMACENES ÉXITO S.A</t>
  </si>
  <si>
    <t>890903407</t>
  </si>
  <si>
    <t>SEGUROS GENERALES SURAMERICANA S.A</t>
  </si>
  <si>
    <t>900017447</t>
  </si>
  <si>
    <t>FALABELLA DE COLOMBIA S A</t>
  </si>
  <si>
    <t>900277370</t>
  </si>
  <si>
    <t>I SHOP COLOMBIA SAS</t>
  </si>
  <si>
    <t>900499068</t>
  </si>
  <si>
    <t>WOMPI S.A.S.</t>
  </si>
  <si>
    <t>901232148</t>
  </si>
  <si>
    <t>OK COMERCIALIZACION S.A.S 01 00</t>
  </si>
  <si>
    <t>1038408497</t>
  </si>
  <si>
    <t>FERNANDA ANDREA LOPEZ CEBALLOS</t>
  </si>
  <si>
    <t>15432007</t>
  </si>
  <si>
    <t>LOPEZ DUQUE REINALDO ANTONIO</t>
  </si>
  <si>
    <t>39183913</t>
  </si>
  <si>
    <t>CLAUDIA PATRICIA ANGEL BERNAL</t>
  </si>
  <si>
    <t>39453347</t>
  </si>
  <si>
    <t>Ana Yakeline Arango Franco</t>
  </si>
  <si>
    <t>43856647</t>
  </si>
  <si>
    <t>ANGELA PATRICIA TORRES CASTAÑO</t>
  </si>
  <si>
    <t>71111818</t>
  </si>
  <si>
    <t>ALZATE LOPEZ FRANCISCO JAVIER</t>
  </si>
  <si>
    <t>800020706</t>
  </si>
  <si>
    <t>NALSANI S.A.S</t>
  </si>
  <si>
    <t>800069933</t>
  </si>
  <si>
    <t>COMODIN S.A.S.</t>
  </si>
  <si>
    <t>800149695</t>
  </si>
  <si>
    <t>FARMACIAS CRUZ VERDE SAS</t>
  </si>
  <si>
    <t>800161656</t>
  </si>
  <si>
    <t>MODANOVA S.A.S</t>
  </si>
  <si>
    <t>800242106</t>
  </si>
  <si>
    <t>SODIMAC COLOMBIA S.A.</t>
  </si>
  <si>
    <t>800244387</t>
  </si>
  <si>
    <t>ADC S.A.S.</t>
  </si>
  <si>
    <t>805003626</t>
  </si>
  <si>
    <t>STF GROUP S.A.</t>
  </si>
  <si>
    <t>811028650</t>
  </si>
  <si>
    <t>MADECENTRO COLOMBIA SAS</t>
  </si>
  <si>
    <t>SUPERMERCADOS  EURO</t>
  </si>
  <si>
    <t>830019189</t>
  </si>
  <si>
    <t>LATAM AIRLINES GROUP SA SUCURSAL COLOMBIA</t>
  </si>
  <si>
    <t>830070527</t>
  </si>
  <si>
    <t>REDEBAN SA</t>
  </si>
  <si>
    <t>830129327</t>
  </si>
  <si>
    <t>FARMATODO COLOMBIA S.A</t>
  </si>
  <si>
    <t>8401658</t>
  </si>
  <si>
    <t>FREDY ALBERTO CORDOBA HERNANDEZ</t>
  </si>
  <si>
    <t>8401724</t>
  </si>
  <si>
    <t>ALVARO DIEGO BOTERO RESTREPO</t>
  </si>
  <si>
    <t>860075208</t>
  </si>
  <si>
    <t>COMERCIALIZADORA CALYPSO SAS</t>
  </si>
  <si>
    <t>890900099</t>
  </si>
  <si>
    <t>Industrias Estra S.A</t>
  </si>
  <si>
    <t>890922113</t>
  </si>
  <si>
    <t>DROPOPULAR S.A.S</t>
  </si>
  <si>
    <t>890935426</t>
  </si>
  <si>
    <t>SUMINISTROS GENERALES CONASEO S.A.S.</t>
  </si>
  <si>
    <t>890941663</t>
  </si>
  <si>
    <t>DISTRIBUIDORA PASTEUR S.A.</t>
  </si>
  <si>
    <t>890984760</t>
  </si>
  <si>
    <t>CORPORACION EDUCATIVA HUMANITAS</t>
  </si>
  <si>
    <t>900092385</t>
  </si>
  <si>
    <t>UNE EPM TELECOMUNICACIONES S.A</t>
  </si>
  <si>
    <t>900130135</t>
  </si>
  <si>
    <t>CENTRO DE DIAGNOSTICO AUTOMOTOR DEL ORIENTE S.A</t>
  </si>
  <si>
    <t>900155107</t>
  </si>
  <si>
    <t>Cencosud  Colombia S.A.</t>
  </si>
  <si>
    <t>900163527</t>
  </si>
  <si>
    <t>CENTRO COMERCIAL SAN NICOLAS PROPIEDAD HORIZONTAL</t>
  </si>
  <si>
    <t>900178348</t>
  </si>
  <si>
    <t>Francorp S.A.S.</t>
  </si>
  <si>
    <t>900252156</t>
  </si>
  <si>
    <t>TODO EN ARTES S.A.S.</t>
  </si>
  <si>
    <t>900276962</t>
  </si>
  <si>
    <t>D1 S A S</t>
  </si>
  <si>
    <t>900319753</t>
  </si>
  <si>
    <t>PRICESMART COLOMBIA S.A.S.</t>
  </si>
  <si>
    <t>900328521</t>
  </si>
  <si>
    <t>GASOIL SPORT S.A.S</t>
  </si>
  <si>
    <t>900542009</t>
  </si>
  <si>
    <t>GRUPO 10Z SAS</t>
  </si>
  <si>
    <t>900561861</t>
  </si>
  <si>
    <t>FUJIFILM COLOMBIA SAS</t>
  </si>
  <si>
    <t>900696744</t>
  </si>
  <si>
    <t>COLOR TOTAL SAS</t>
  </si>
  <si>
    <t>900816838</t>
  </si>
  <si>
    <t>CMX S.A.S.</t>
  </si>
  <si>
    <t>900832629</t>
  </si>
  <si>
    <t xml:space="preserve"> BLUSH BAR S.A.S.</t>
  </si>
  <si>
    <t>900868195</t>
  </si>
  <si>
    <t>FIX PHONE S.A.S.</t>
  </si>
  <si>
    <t>900924527</t>
  </si>
  <si>
    <t>H&amp;M HENNES &amp; MAURITZ COLOMBIA S.A.S</t>
  </si>
  <si>
    <t>900943243</t>
  </si>
  <si>
    <t>SURAMERICA COMERCIAL S.A.S</t>
  </si>
  <si>
    <t>901025611</t>
  </si>
  <si>
    <t>TRUE LUZ SAS</t>
  </si>
  <si>
    <t>901030826</t>
  </si>
  <si>
    <t>BOHEMIAN FLOWERS S.A.S</t>
  </si>
  <si>
    <t>901041591</t>
  </si>
  <si>
    <t>ENSEK SAS</t>
  </si>
  <si>
    <t>901123242</t>
  </si>
  <si>
    <t>DISTRIBUCIONES FARGORIENTE SAS</t>
  </si>
  <si>
    <t>901137699</t>
  </si>
  <si>
    <t>MINISO COLOMBIA S.A.S</t>
  </si>
  <si>
    <t>901166509</t>
  </si>
  <si>
    <t>DISTRIBUIDORA EL CASTELLANO S.A.S</t>
  </si>
  <si>
    <t>901209552</t>
  </si>
  <si>
    <t>ZUME MAS S.A.S 005 901209552</t>
  </si>
  <si>
    <t>901247722</t>
  </si>
  <si>
    <t>FRUTOS RIOGRANDE S.A.S</t>
  </si>
  <si>
    <t>901264432</t>
  </si>
  <si>
    <t>BOOMING ENTERPRISE S.A.S</t>
  </si>
  <si>
    <t>901331844</t>
  </si>
  <si>
    <t>IKSO SAS</t>
  </si>
  <si>
    <t>901352310</t>
  </si>
  <si>
    <t>ESPAZIA SAS</t>
  </si>
  <si>
    <t>901455127</t>
  </si>
  <si>
    <t>MADERAS Y MADERAS DEL ORIENTE S.A.S</t>
  </si>
  <si>
    <t>901510702</t>
  </si>
  <si>
    <t>OPERACIONES JARDINES SAS</t>
  </si>
  <si>
    <t>901527033</t>
  </si>
  <si>
    <t>VERDE ORO S.A.S</t>
  </si>
  <si>
    <t>901531195</t>
  </si>
  <si>
    <t>FERRETERIA Y DEPOSITO EL LLANO SAS</t>
  </si>
  <si>
    <t>901550411</t>
  </si>
  <si>
    <t>PREFABRICADOS SERVICON S.A.S.</t>
  </si>
  <si>
    <t>901722923</t>
  </si>
  <si>
    <t>GABRY C PAPELERIA SAS</t>
  </si>
  <si>
    <t>901824495</t>
  </si>
  <si>
    <t>ECOLOGICAL PLASTICOS Y DESECHABLE SAS</t>
  </si>
  <si>
    <t>901857835</t>
  </si>
  <si>
    <t>POLYENVASES Y EMPAQUES ORIENTE S.A.S.</t>
  </si>
  <si>
    <t>1001723982</t>
  </si>
  <si>
    <t>ARROYAVE RAVE JULIANA</t>
  </si>
  <si>
    <t>1007480745</t>
  </si>
  <si>
    <t>ALEXANDER PEREZ CASTAÑO</t>
  </si>
  <si>
    <t>1017134266</t>
  </si>
  <si>
    <t>GUTIERREZ VANEGAS LADY  YOHANA</t>
  </si>
  <si>
    <t>15436735</t>
  </si>
  <si>
    <t>MIGUEL ANGEL PELAEZ ECHEVERRI</t>
  </si>
  <si>
    <t>42795633</t>
  </si>
  <si>
    <t>MARIA VICTORIA BOTERO VIEIRA</t>
  </si>
  <si>
    <t>43404302</t>
  </si>
  <si>
    <t>GLORIA LETICIA DUQUE CASTAÑO</t>
  </si>
  <si>
    <t>71113787</t>
  </si>
  <si>
    <t>OMAR DE JESUS OROZCO GOMEZ</t>
  </si>
  <si>
    <t>800015551</t>
  </si>
  <si>
    <t>CAMARA DE COMERCIO DEL ORIENTE ANTIOQUEÑO</t>
  </si>
  <si>
    <t>800180330</t>
  </si>
  <si>
    <t>COMPAÑIA DE ALIMENTOS COLOMBIANOS CALCO S.A..</t>
  </si>
  <si>
    <t>811024845</t>
  </si>
  <si>
    <t>RESTAURANTE NM SAS</t>
  </si>
  <si>
    <t>830513729</t>
  </si>
  <si>
    <t>COMBUSTIBLES DE COLOMBIA S.A.</t>
  </si>
  <si>
    <t>900111575</t>
  </si>
  <si>
    <t>ESTADERO Y ASADOS DOÑA ROSA S . A . S</t>
  </si>
  <si>
    <t>900291461</t>
  </si>
  <si>
    <t>SOCIEDAD COMERCIALIZADORA DE COMBUSTIBLES S.A.S.</t>
  </si>
  <si>
    <t>900424941</t>
  </si>
  <si>
    <t>QUIRAMA ASOCIADOS S.A.S.</t>
  </si>
  <si>
    <t>900491889</t>
  </si>
  <si>
    <t>MASSER SAS</t>
  </si>
  <si>
    <t>900519645</t>
  </si>
  <si>
    <t>INVERSIONES Y SUMINISTROS ASTRAL DEL CARIBE SAS</t>
  </si>
  <si>
    <t>900559088</t>
  </si>
  <si>
    <t>SOLUCIONES ALEGRA S.A.S</t>
  </si>
  <si>
    <t>900952276</t>
  </si>
  <si>
    <t>LIBRERIA CAFE EL LICENCIADO S.A.S.</t>
  </si>
  <si>
    <t>901236541</t>
  </si>
  <si>
    <t>SERVILLANOGRANDE SAS</t>
  </si>
  <si>
    <t>901509882</t>
  </si>
  <si>
    <t>LA HERENCIA CAMPESTRE SAS</t>
  </si>
  <si>
    <t>901775693</t>
  </si>
  <si>
    <t>TINY BONNY SAS</t>
  </si>
  <si>
    <t>901903840</t>
  </si>
  <si>
    <t>COCOROLLO PALMAS SAS</t>
  </si>
  <si>
    <t>1000099658</t>
  </si>
  <si>
    <t>PAOLA ANDREA PINEDA LONDOÑO</t>
  </si>
  <si>
    <t>1001651526</t>
  </si>
  <si>
    <t>VERÓNICA   CARDONA  OCAMPO</t>
  </si>
  <si>
    <t>1007238210</t>
  </si>
  <si>
    <t>LORENA  LOPEZ BEDOYA</t>
  </si>
  <si>
    <t>1007238291</t>
  </si>
  <si>
    <t>ESTEFANIA  ALZATE OROZCO</t>
  </si>
  <si>
    <t>BERNAL GARCIA CAMILA ANDREA</t>
  </si>
  <si>
    <t>1036942050</t>
  </si>
  <si>
    <t>LUISA MARIA ACEVEDO FRANCO</t>
  </si>
  <si>
    <t>LUISA MARIA ACEVEDO FRANCP</t>
  </si>
  <si>
    <t>1036959644</t>
  </si>
  <si>
    <t>PAULA ANDREA ARISTIZABAL FLOREZ</t>
  </si>
  <si>
    <t>1038415548</t>
  </si>
  <si>
    <t>TANIA  PATRICIA RAMIREZ CASTAÑO</t>
  </si>
  <si>
    <t>1045050652</t>
  </si>
  <si>
    <t>MILDRED DAYANA AGUDELO GARCES</t>
  </si>
  <si>
    <t>1193223440</t>
  </si>
  <si>
    <t>KAREN JULIETH OROZCO  OSORIO</t>
  </si>
  <si>
    <t>1214746745</t>
  </si>
  <si>
    <t>ANA MARIA QUIROGA GRISALES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</si>
</sst>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7"/>
  <sheetViews>
    <sheetView tabSelected="1" topLeftCell="A34" workbookViewId="0">
      <selection sqref="A1:XFD1048576"/>
    </sheetView>
  </sheetViews>
  <sheetFormatPr baseColWidth="10" defaultColWidth="8.88671875" defaultRowHeight="14.4" x14ac:dyDescent="0.3"/>
  <cols>
    <col min="1" max="1" width="11.77734375" bestFit="1" customWidth="1"/>
    <col min="2" max="2" width="3.33203125" bestFit="1" customWidth="1"/>
    <col min="3" max="3" width="38.33203125" bestFit="1" customWidth="1"/>
    <col min="4" max="4" width="6" bestFit="1" customWidth="1"/>
    <col min="5" max="5" width="8" bestFit="1" customWidth="1"/>
    <col min="6" max="6" width="9" bestFit="1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 t="s">
        <v>6</v>
      </c>
      <c r="B2">
        <v>0</v>
      </c>
      <c r="C2" t="s">
        <v>7</v>
      </c>
      <c r="D2">
        <v>0</v>
      </c>
      <c r="E2">
        <v>0</v>
      </c>
      <c r="F2">
        <v>12600000</v>
      </c>
    </row>
    <row r="3" spans="1:6" x14ac:dyDescent="0.3">
      <c r="A3" t="s">
        <v>8</v>
      </c>
      <c r="B3">
        <v>4</v>
      </c>
      <c r="C3" t="s">
        <v>9</v>
      </c>
      <c r="D3">
        <v>0</v>
      </c>
      <c r="E3">
        <v>0</v>
      </c>
      <c r="F3">
        <v>9156000</v>
      </c>
    </row>
    <row r="4" spans="1:6" x14ac:dyDescent="0.3">
      <c r="A4" t="s">
        <v>10</v>
      </c>
      <c r="B4">
        <v>7</v>
      </c>
      <c r="C4" t="s">
        <v>11</v>
      </c>
      <c r="D4">
        <v>0</v>
      </c>
      <c r="E4">
        <v>0</v>
      </c>
      <c r="F4">
        <v>2060000</v>
      </c>
    </row>
    <row r="5" spans="1:6" x14ac:dyDescent="0.3">
      <c r="A5" t="s">
        <v>12</v>
      </c>
      <c r="B5">
        <v>3</v>
      </c>
      <c r="C5" t="s">
        <v>13</v>
      </c>
      <c r="D5">
        <v>0</v>
      </c>
      <c r="E5">
        <v>0</v>
      </c>
      <c r="F5">
        <v>10000</v>
      </c>
    </row>
    <row r="6" spans="1:6" x14ac:dyDescent="0.3">
      <c r="A6" t="s">
        <v>14</v>
      </c>
      <c r="B6">
        <v>8</v>
      </c>
      <c r="C6" t="s">
        <v>15</v>
      </c>
      <c r="D6">
        <v>0</v>
      </c>
      <c r="E6">
        <v>0</v>
      </c>
      <c r="F6">
        <v>9016400</v>
      </c>
    </row>
    <row r="7" spans="1:6" x14ac:dyDescent="0.3">
      <c r="A7" t="s">
        <v>16</v>
      </c>
      <c r="B7">
        <v>1</v>
      </c>
      <c r="C7" t="s">
        <v>17</v>
      </c>
      <c r="D7">
        <v>0</v>
      </c>
      <c r="E7">
        <v>0</v>
      </c>
      <c r="F7">
        <v>5150000</v>
      </c>
    </row>
    <row r="8" spans="1:6" x14ac:dyDescent="0.3">
      <c r="A8" t="s">
        <v>18</v>
      </c>
      <c r="B8">
        <v>9</v>
      </c>
      <c r="C8" t="s">
        <v>19</v>
      </c>
      <c r="D8">
        <v>0</v>
      </c>
      <c r="E8">
        <v>0</v>
      </c>
      <c r="F8">
        <v>890000</v>
      </c>
    </row>
    <row r="9" spans="1:6" x14ac:dyDescent="0.3">
      <c r="A9" t="s">
        <v>20</v>
      </c>
      <c r="B9">
        <v>1</v>
      </c>
      <c r="C9" t="s">
        <v>21</v>
      </c>
      <c r="D9">
        <v>0</v>
      </c>
      <c r="E9">
        <v>0</v>
      </c>
      <c r="F9">
        <v>2958000</v>
      </c>
    </row>
    <row r="10" spans="1:6" x14ac:dyDescent="0.3">
      <c r="A10" t="s">
        <v>22</v>
      </c>
      <c r="B10">
        <v>4</v>
      </c>
      <c r="C10" t="s">
        <v>23</v>
      </c>
      <c r="D10">
        <v>0</v>
      </c>
      <c r="E10">
        <v>0</v>
      </c>
      <c r="F10">
        <v>6592000</v>
      </c>
    </row>
    <row r="11" spans="1:6" x14ac:dyDescent="0.3">
      <c r="A11" t="s">
        <v>24</v>
      </c>
      <c r="B11">
        <v>4</v>
      </c>
      <c r="C11" t="s">
        <v>25</v>
      </c>
      <c r="D11">
        <v>0</v>
      </c>
      <c r="E11">
        <v>0</v>
      </c>
      <c r="F11">
        <v>8736000</v>
      </c>
    </row>
    <row r="12" spans="1:6" x14ac:dyDescent="0.3">
      <c r="A12" t="s">
        <v>26</v>
      </c>
      <c r="B12">
        <v>8</v>
      </c>
      <c r="C12" t="s">
        <v>27</v>
      </c>
      <c r="D12">
        <v>0</v>
      </c>
      <c r="E12">
        <v>0</v>
      </c>
      <c r="F12">
        <v>1801000</v>
      </c>
    </row>
    <row r="13" spans="1:6" x14ac:dyDescent="0.3">
      <c r="A13" t="s">
        <v>28</v>
      </c>
      <c r="B13">
        <v>1</v>
      </c>
      <c r="C13" t="s">
        <v>29</v>
      </c>
      <c r="D13">
        <v>0</v>
      </c>
      <c r="E13">
        <v>0</v>
      </c>
      <c r="F13">
        <v>195000</v>
      </c>
    </row>
    <row r="14" spans="1:6" x14ac:dyDescent="0.3">
      <c r="A14" t="s">
        <v>30</v>
      </c>
      <c r="B14">
        <v>4</v>
      </c>
      <c r="C14" t="s">
        <v>31</v>
      </c>
      <c r="D14">
        <v>0</v>
      </c>
      <c r="E14">
        <v>0</v>
      </c>
      <c r="F14">
        <v>12370000</v>
      </c>
    </row>
    <row r="15" spans="1:6" x14ac:dyDescent="0.3">
      <c r="A15" t="s">
        <v>32</v>
      </c>
      <c r="B15">
        <v>1</v>
      </c>
      <c r="C15" t="s">
        <v>33</v>
      </c>
      <c r="D15">
        <v>0</v>
      </c>
      <c r="E15">
        <v>0</v>
      </c>
      <c r="F15">
        <v>7926000</v>
      </c>
    </row>
    <row r="16" spans="1:6" x14ac:dyDescent="0.3">
      <c r="A16" t="s">
        <v>34</v>
      </c>
      <c r="B16">
        <v>5</v>
      </c>
      <c r="C16" t="s">
        <v>35</v>
      </c>
      <c r="D16">
        <v>0</v>
      </c>
      <c r="E16">
        <v>0</v>
      </c>
      <c r="F16">
        <v>10712000</v>
      </c>
    </row>
    <row r="17" spans="1:6" x14ac:dyDescent="0.3">
      <c r="A17" t="s">
        <v>36</v>
      </c>
      <c r="B17">
        <v>6</v>
      </c>
      <c r="C17" t="s">
        <v>37</v>
      </c>
      <c r="D17">
        <v>0</v>
      </c>
      <c r="E17">
        <v>0</v>
      </c>
      <c r="F17">
        <v>9884000</v>
      </c>
    </row>
    <row r="18" spans="1:6" x14ac:dyDescent="0.3">
      <c r="A18" t="s">
        <v>38</v>
      </c>
      <c r="B18">
        <v>2</v>
      </c>
      <c r="C18" t="s">
        <v>39</v>
      </c>
      <c r="D18">
        <v>0</v>
      </c>
      <c r="E18">
        <v>0</v>
      </c>
      <c r="F18">
        <v>9256000</v>
      </c>
    </row>
    <row r="19" spans="1:6" x14ac:dyDescent="0.3">
      <c r="A19" t="s">
        <v>40</v>
      </c>
      <c r="B19">
        <v>3</v>
      </c>
      <c r="C19" t="s">
        <v>41</v>
      </c>
      <c r="D19">
        <v>0</v>
      </c>
      <c r="E19">
        <v>0</v>
      </c>
      <c r="F19">
        <v>8736000</v>
      </c>
    </row>
    <row r="20" spans="1:6" x14ac:dyDescent="0.3">
      <c r="A20" t="s">
        <v>42</v>
      </c>
      <c r="B20">
        <v>5</v>
      </c>
      <c r="C20" t="s">
        <v>43</v>
      </c>
      <c r="D20">
        <v>0</v>
      </c>
      <c r="E20">
        <v>0</v>
      </c>
      <c r="F20">
        <v>9634250</v>
      </c>
    </row>
    <row r="21" spans="1:6" x14ac:dyDescent="0.3">
      <c r="A21" t="s">
        <v>44</v>
      </c>
      <c r="B21">
        <v>0</v>
      </c>
      <c r="C21" t="s">
        <v>45</v>
      </c>
      <c r="D21">
        <v>0</v>
      </c>
      <c r="E21">
        <v>0</v>
      </c>
      <c r="F21">
        <v>8516000</v>
      </c>
    </row>
    <row r="22" spans="1:6" x14ac:dyDescent="0.3">
      <c r="A22" t="s">
        <v>46</v>
      </c>
      <c r="B22">
        <v>4</v>
      </c>
      <c r="C22" t="s">
        <v>47</v>
      </c>
      <c r="D22">
        <v>77250</v>
      </c>
      <c r="E22">
        <v>14677.5</v>
      </c>
      <c r="F22">
        <v>11181428</v>
      </c>
    </row>
    <row r="23" spans="1:6" x14ac:dyDescent="0.3">
      <c r="A23" t="s">
        <v>48</v>
      </c>
      <c r="B23">
        <v>7</v>
      </c>
      <c r="C23" t="s">
        <v>49</v>
      </c>
      <c r="D23">
        <v>0</v>
      </c>
      <c r="E23">
        <v>0</v>
      </c>
      <c r="F23">
        <v>1530000</v>
      </c>
    </row>
    <row r="24" spans="1:6" x14ac:dyDescent="0.3">
      <c r="A24" t="s">
        <v>50</v>
      </c>
      <c r="B24">
        <v>4</v>
      </c>
      <c r="C24" t="s">
        <v>51</v>
      </c>
      <c r="D24">
        <v>0</v>
      </c>
      <c r="E24">
        <v>0</v>
      </c>
      <c r="F24">
        <v>5940000</v>
      </c>
    </row>
    <row r="25" spans="1:6" x14ac:dyDescent="0.3">
      <c r="A25" t="s">
        <v>52</v>
      </c>
      <c r="B25">
        <v>3</v>
      </c>
      <c r="C25" t="s">
        <v>53</v>
      </c>
      <c r="D25">
        <v>0</v>
      </c>
      <c r="E25">
        <v>0</v>
      </c>
      <c r="F25">
        <v>8652000</v>
      </c>
    </row>
    <row r="26" spans="1:6" x14ac:dyDescent="0.3">
      <c r="A26" t="s">
        <v>52</v>
      </c>
      <c r="B26">
        <v>3</v>
      </c>
      <c r="C26" t="s">
        <v>54</v>
      </c>
      <c r="D26">
        <v>0</v>
      </c>
      <c r="E26">
        <v>0</v>
      </c>
      <c r="F26">
        <v>2060000</v>
      </c>
    </row>
    <row r="27" spans="1:6" x14ac:dyDescent="0.3">
      <c r="A27" t="s">
        <v>55</v>
      </c>
      <c r="B27">
        <v>1</v>
      </c>
      <c r="C27" t="s">
        <v>56</v>
      </c>
      <c r="D27">
        <v>0</v>
      </c>
      <c r="E27">
        <v>0</v>
      </c>
      <c r="F27">
        <v>6120000</v>
      </c>
    </row>
    <row r="28" spans="1:6" x14ac:dyDescent="0.3">
      <c r="A28" t="s">
        <v>57</v>
      </c>
      <c r="B28">
        <v>7</v>
      </c>
      <c r="C28" t="s">
        <v>58</v>
      </c>
      <c r="D28">
        <v>0</v>
      </c>
      <c r="E28">
        <v>0</v>
      </c>
      <c r="F28">
        <v>3980000</v>
      </c>
    </row>
    <row r="29" spans="1:6" x14ac:dyDescent="0.3">
      <c r="A29" t="s">
        <v>59</v>
      </c>
      <c r="B29">
        <v>0</v>
      </c>
      <c r="C29" t="s">
        <v>60</v>
      </c>
      <c r="D29">
        <v>0</v>
      </c>
      <c r="E29">
        <v>0</v>
      </c>
      <c r="F29">
        <v>4786000</v>
      </c>
    </row>
    <row r="30" spans="1:6" x14ac:dyDescent="0.3">
      <c r="A30" t="s">
        <v>61</v>
      </c>
      <c r="B30">
        <v>9</v>
      </c>
      <c r="C30" t="s">
        <v>62</v>
      </c>
      <c r="D30">
        <v>0</v>
      </c>
      <c r="E30">
        <v>0</v>
      </c>
      <c r="F30">
        <v>155000</v>
      </c>
    </row>
    <row r="31" spans="1:6" x14ac:dyDescent="0.3">
      <c r="A31" t="s">
        <v>63</v>
      </c>
      <c r="B31">
        <v>7</v>
      </c>
      <c r="C31" t="s">
        <v>64</v>
      </c>
      <c r="D31">
        <v>0</v>
      </c>
      <c r="E31">
        <v>0</v>
      </c>
      <c r="F31">
        <v>19240000</v>
      </c>
    </row>
    <row r="32" spans="1:6" x14ac:dyDescent="0.3">
      <c r="A32" t="s">
        <v>65</v>
      </c>
      <c r="B32">
        <v>3</v>
      </c>
      <c r="C32" t="s">
        <v>66</v>
      </c>
      <c r="D32">
        <v>0</v>
      </c>
      <c r="E32">
        <v>0</v>
      </c>
      <c r="F32">
        <v>11616000</v>
      </c>
    </row>
    <row r="33" spans="1:6" x14ac:dyDescent="0.3">
      <c r="A33" t="s">
        <v>67</v>
      </c>
      <c r="B33">
        <v>5</v>
      </c>
      <c r="C33" t="s">
        <v>68</v>
      </c>
      <c r="D33">
        <v>0</v>
      </c>
      <c r="E33">
        <v>0</v>
      </c>
      <c r="F33">
        <v>860000</v>
      </c>
    </row>
    <row r="34" spans="1:6" x14ac:dyDescent="0.3">
      <c r="A34" t="s">
        <v>69</v>
      </c>
      <c r="B34">
        <v>8</v>
      </c>
      <c r="C34" t="s">
        <v>70</v>
      </c>
      <c r="D34">
        <v>0</v>
      </c>
      <c r="E34">
        <v>0</v>
      </c>
      <c r="F34">
        <v>7312000</v>
      </c>
    </row>
    <row r="35" spans="1:6" x14ac:dyDescent="0.3">
      <c r="A35" t="s">
        <v>71</v>
      </c>
      <c r="B35">
        <v>3</v>
      </c>
      <c r="C35" t="s">
        <v>72</v>
      </c>
      <c r="D35">
        <v>0</v>
      </c>
      <c r="E35">
        <v>0</v>
      </c>
      <c r="F35">
        <v>3800000</v>
      </c>
    </row>
    <row r="36" spans="1:6" x14ac:dyDescent="0.3">
      <c r="A36" t="s">
        <v>73</v>
      </c>
      <c r="B36">
        <v>8</v>
      </c>
      <c r="C36" t="s">
        <v>74</v>
      </c>
      <c r="D36">
        <v>0</v>
      </c>
      <c r="E36">
        <v>0</v>
      </c>
      <c r="F36">
        <v>4740000</v>
      </c>
    </row>
    <row r="37" spans="1:6" x14ac:dyDescent="0.3">
      <c r="A37" t="s">
        <v>75</v>
      </c>
      <c r="B37">
        <v>5</v>
      </c>
      <c r="C37" t="s">
        <v>76</v>
      </c>
      <c r="D37">
        <v>0</v>
      </c>
      <c r="E37">
        <v>0</v>
      </c>
      <c r="F37">
        <v>8529000</v>
      </c>
    </row>
    <row r="38" spans="1:6" x14ac:dyDescent="0.3">
      <c r="A38" t="s">
        <v>77</v>
      </c>
      <c r="B38">
        <v>9</v>
      </c>
      <c r="C38" t="s">
        <v>78</v>
      </c>
      <c r="D38">
        <v>0</v>
      </c>
      <c r="E38">
        <v>0</v>
      </c>
      <c r="F38">
        <v>5184000</v>
      </c>
    </row>
    <row r="39" spans="1:6" x14ac:dyDescent="0.3">
      <c r="A39" t="s">
        <v>79</v>
      </c>
      <c r="B39">
        <v>6</v>
      </c>
      <c r="C39" t="s">
        <v>80</v>
      </c>
      <c r="D39">
        <v>0</v>
      </c>
      <c r="E39">
        <v>0</v>
      </c>
      <c r="F39">
        <v>2760000</v>
      </c>
    </row>
    <row r="40" spans="1:6" x14ac:dyDescent="0.3">
      <c r="A40" t="s">
        <v>81</v>
      </c>
      <c r="B40">
        <v>1</v>
      </c>
      <c r="C40" t="s">
        <v>82</v>
      </c>
      <c r="D40">
        <v>82500</v>
      </c>
      <c r="E40">
        <v>15675</v>
      </c>
      <c r="F40">
        <v>11565675</v>
      </c>
    </row>
    <row r="41" spans="1:6" x14ac:dyDescent="0.3">
      <c r="A41" t="s">
        <v>83</v>
      </c>
      <c r="B41">
        <v>8</v>
      </c>
      <c r="C41" t="s">
        <v>84</v>
      </c>
      <c r="D41">
        <v>0</v>
      </c>
      <c r="E41">
        <v>0</v>
      </c>
      <c r="F41">
        <v>8736000</v>
      </c>
    </row>
    <row r="42" spans="1:6" x14ac:dyDescent="0.3">
      <c r="A42" t="s">
        <v>85</v>
      </c>
      <c r="B42">
        <v>0</v>
      </c>
      <c r="C42" t="s">
        <v>86</v>
      </c>
      <c r="D42">
        <v>0</v>
      </c>
      <c r="E42">
        <v>0</v>
      </c>
      <c r="F42">
        <v>517000</v>
      </c>
    </row>
    <row r="43" spans="1:6" x14ac:dyDescent="0.3">
      <c r="A43" t="s">
        <v>87</v>
      </c>
      <c r="B43">
        <v>0</v>
      </c>
      <c r="C43" t="s">
        <v>88</v>
      </c>
      <c r="D43">
        <v>0</v>
      </c>
      <c r="E43">
        <v>0</v>
      </c>
      <c r="F43">
        <v>670000</v>
      </c>
    </row>
    <row r="44" spans="1:6" x14ac:dyDescent="0.3">
      <c r="A44" t="s">
        <v>89</v>
      </c>
      <c r="B44">
        <v>1</v>
      </c>
      <c r="C44" t="s">
        <v>90</v>
      </c>
      <c r="D44">
        <v>0</v>
      </c>
      <c r="E44">
        <v>0</v>
      </c>
      <c r="F44">
        <v>4460000</v>
      </c>
    </row>
    <row r="45" spans="1:6" x14ac:dyDescent="0.3">
      <c r="A45" t="s">
        <v>91</v>
      </c>
      <c r="B45">
        <v>3</v>
      </c>
      <c r="C45" t="s">
        <v>92</v>
      </c>
      <c r="D45">
        <v>0</v>
      </c>
      <c r="E45">
        <v>0</v>
      </c>
      <c r="F45">
        <v>2950000</v>
      </c>
    </row>
    <row r="46" spans="1:6" x14ac:dyDescent="0.3">
      <c r="A46" t="s">
        <v>93</v>
      </c>
      <c r="B46">
        <v>7</v>
      </c>
      <c r="C46" t="s">
        <v>94</v>
      </c>
      <c r="D46">
        <v>0</v>
      </c>
      <c r="E46">
        <v>0</v>
      </c>
      <c r="F46">
        <v>2472000</v>
      </c>
    </row>
    <row r="47" spans="1:6" x14ac:dyDescent="0.3">
      <c r="A47" t="s">
        <v>95</v>
      </c>
      <c r="B47">
        <v>8</v>
      </c>
      <c r="C47" t="s">
        <v>96</v>
      </c>
      <c r="D47">
        <v>0</v>
      </c>
      <c r="E47">
        <v>0</v>
      </c>
      <c r="F47">
        <v>8250000</v>
      </c>
    </row>
    <row r="48" spans="1:6" x14ac:dyDescent="0.3">
      <c r="A48" t="s">
        <v>97</v>
      </c>
      <c r="B48">
        <v>1</v>
      </c>
      <c r="C48" t="s">
        <v>98</v>
      </c>
      <c r="D48">
        <v>0</v>
      </c>
      <c r="E48">
        <v>0</v>
      </c>
      <c r="F48">
        <v>8736000</v>
      </c>
    </row>
    <row r="49" spans="1:6" x14ac:dyDescent="0.3">
      <c r="A49" t="s">
        <v>99</v>
      </c>
      <c r="B49">
        <v>9</v>
      </c>
      <c r="C49" t="s">
        <v>100</v>
      </c>
      <c r="D49">
        <v>0</v>
      </c>
      <c r="E49">
        <v>0</v>
      </c>
      <c r="F49">
        <v>6006000</v>
      </c>
    </row>
    <row r="50" spans="1:6" x14ac:dyDescent="0.3">
      <c r="A50" t="s">
        <v>101</v>
      </c>
      <c r="B50">
        <v>4</v>
      </c>
      <c r="C50" t="s">
        <v>102</v>
      </c>
      <c r="D50">
        <v>0</v>
      </c>
      <c r="E50">
        <v>0</v>
      </c>
      <c r="F50">
        <v>336000</v>
      </c>
    </row>
    <row r="51" spans="1:6" x14ac:dyDescent="0.3">
      <c r="A51" t="s">
        <v>101</v>
      </c>
      <c r="B51">
        <v>4</v>
      </c>
      <c r="C51" t="s">
        <v>103</v>
      </c>
      <c r="D51">
        <v>0</v>
      </c>
      <c r="E51">
        <v>0</v>
      </c>
      <c r="F51">
        <v>8750000</v>
      </c>
    </row>
    <row r="52" spans="1:6" x14ac:dyDescent="0.3">
      <c r="A52" t="s">
        <v>104</v>
      </c>
      <c r="B52">
        <v>0</v>
      </c>
      <c r="C52" t="s">
        <v>105</v>
      </c>
      <c r="D52">
        <v>0</v>
      </c>
      <c r="E52">
        <v>0</v>
      </c>
      <c r="F52">
        <v>6660000</v>
      </c>
    </row>
    <row r="53" spans="1:6" x14ac:dyDescent="0.3">
      <c r="A53" t="s">
        <v>106</v>
      </c>
      <c r="B53">
        <v>6</v>
      </c>
      <c r="C53" t="s">
        <v>107</v>
      </c>
      <c r="D53">
        <v>0</v>
      </c>
      <c r="E53">
        <v>0</v>
      </c>
      <c r="F53">
        <v>7028000</v>
      </c>
    </row>
    <row r="54" spans="1:6" x14ac:dyDescent="0.3">
      <c r="A54" t="s">
        <v>108</v>
      </c>
      <c r="B54">
        <v>0</v>
      </c>
      <c r="C54" t="s">
        <v>109</v>
      </c>
      <c r="D54">
        <v>0</v>
      </c>
      <c r="E54">
        <v>0</v>
      </c>
      <c r="F54">
        <v>4536000</v>
      </c>
    </row>
    <row r="55" spans="1:6" x14ac:dyDescent="0.3">
      <c r="A55" t="s">
        <v>110</v>
      </c>
      <c r="B55">
        <v>4</v>
      </c>
      <c r="C55" t="s">
        <v>111</v>
      </c>
      <c r="D55">
        <v>0</v>
      </c>
      <c r="E55">
        <v>0</v>
      </c>
      <c r="F55">
        <v>11104000</v>
      </c>
    </row>
    <row r="56" spans="1:6" x14ac:dyDescent="0.3">
      <c r="A56" t="s">
        <v>112</v>
      </c>
      <c r="B56">
        <v>7</v>
      </c>
      <c r="C56" t="s">
        <v>113</v>
      </c>
      <c r="D56">
        <v>0</v>
      </c>
      <c r="E56">
        <v>0</v>
      </c>
      <c r="F56">
        <v>3090000</v>
      </c>
    </row>
    <row r="57" spans="1:6" x14ac:dyDescent="0.3">
      <c r="A57" t="s">
        <v>114</v>
      </c>
      <c r="B57">
        <v>3</v>
      </c>
      <c r="C57" t="s">
        <v>115</v>
      </c>
      <c r="D57">
        <v>0</v>
      </c>
      <c r="E57">
        <v>0</v>
      </c>
      <c r="F57">
        <v>9984000</v>
      </c>
    </row>
    <row r="58" spans="1:6" x14ac:dyDescent="0.3">
      <c r="A58" t="s">
        <v>116</v>
      </c>
      <c r="B58">
        <v>5</v>
      </c>
      <c r="C58" t="s">
        <v>117</v>
      </c>
      <c r="D58">
        <v>0</v>
      </c>
      <c r="E58">
        <v>0</v>
      </c>
      <c r="F58">
        <v>15332800</v>
      </c>
    </row>
    <row r="59" spans="1:6" x14ac:dyDescent="0.3">
      <c r="A59" t="s">
        <v>118</v>
      </c>
      <c r="B59">
        <v>1</v>
      </c>
      <c r="C59" t="s">
        <v>119</v>
      </c>
      <c r="D59">
        <v>0</v>
      </c>
      <c r="E59">
        <v>0</v>
      </c>
      <c r="F59">
        <v>5376000</v>
      </c>
    </row>
    <row r="60" spans="1:6" x14ac:dyDescent="0.3">
      <c r="A60" t="s">
        <v>120</v>
      </c>
      <c r="B60">
        <v>1</v>
      </c>
      <c r="C60" t="s">
        <v>121</v>
      </c>
      <c r="D60">
        <v>0</v>
      </c>
      <c r="E60">
        <v>0</v>
      </c>
      <c r="F60">
        <v>8722000</v>
      </c>
    </row>
    <row r="61" spans="1:6" x14ac:dyDescent="0.3">
      <c r="A61" t="s">
        <v>122</v>
      </c>
      <c r="B61">
        <v>4</v>
      </c>
      <c r="C61" t="s">
        <v>123</v>
      </c>
      <c r="D61">
        <v>0</v>
      </c>
      <c r="E61">
        <v>0</v>
      </c>
      <c r="F61">
        <v>4200000</v>
      </c>
    </row>
    <row r="62" spans="1:6" x14ac:dyDescent="0.3">
      <c r="A62" t="s">
        <v>124</v>
      </c>
      <c r="B62">
        <v>1</v>
      </c>
      <c r="C62" t="s">
        <v>125</v>
      </c>
      <c r="D62">
        <v>0</v>
      </c>
      <c r="E62">
        <v>0</v>
      </c>
      <c r="F62">
        <v>195000</v>
      </c>
    </row>
    <row r="63" spans="1:6" x14ac:dyDescent="0.3">
      <c r="A63" t="s">
        <v>126</v>
      </c>
      <c r="B63">
        <v>5</v>
      </c>
      <c r="C63" t="s">
        <v>127</v>
      </c>
      <c r="D63">
        <v>0</v>
      </c>
      <c r="E63">
        <v>0</v>
      </c>
      <c r="F63">
        <v>9256000</v>
      </c>
    </row>
    <row r="64" spans="1:6" x14ac:dyDescent="0.3">
      <c r="A64" t="s">
        <v>128</v>
      </c>
      <c r="B64">
        <v>9</v>
      </c>
      <c r="C64" t="s">
        <v>125</v>
      </c>
      <c r="D64">
        <v>0</v>
      </c>
      <c r="E64">
        <v>0</v>
      </c>
      <c r="F64">
        <v>195000</v>
      </c>
    </row>
    <row r="65" spans="1:6" x14ac:dyDescent="0.3">
      <c r="A65" t="s">
        <v>129</v>
      </c>
      <c r="B65">
        <v>9</v>
      </c>
      <c r="C65" t="s">
        <v>130</v>
      </c>
      <c r="D65">
        <v>0</v>
      </c>
      <c r="E65">
        <v>0</v>
      </c>
      <c r="F65">
        <v>2220000</v>
      </c>
    </row>
    <row r="66" spans="1:6" x14ac:dyDescent="0.3">
      <c r="A66" t="s">
        <v>131</v>
      </c>
      <c r="B66">
        <v>4</v>
      </c>
      <c r="C66" t="s">
        <v>132</v>
      </c>
      <c r="D66">
        <v>0</v>
      </c>
      <c r="E66">
        <v>0</v>
      </c>
      <c r="F66">
        <v>315000</v>
      </c>
    </row>
    <row r="67" spans="1:6" x14ac:dyDescent="0.3">
      <c r="A67" t="s">
        <v>133</v>
      </c>
      <c r="B67">
        <v>7</v>
      </c>
      <c r="C67" t="s">
        <v>134</v>
      </c>
      <c r="D67">
        <v>0</v>
      </c>
      <c r="E67">
        <v>0</v>
      </c>
      <c r="F67">
        <v>2760000</v>
      </c>
    </row>
    <row r="68" spans="1:6" x14ac:dyDescent="0.3">
      <c r="A68" t="s">
        <v>135</v>
      </c>
      <c r="B68">
        <v>8</v>
      </c>
      <c r="C68" t="s">
        <v>136</v>
      </c>
      <c r="D68">
        <v>0</v>
      </c>
      <c r="E68">
        <v>0</v>
      </c>
      <c r="F68">
        <v>265000</v>
      </c>
    </row>
    <row r="69" spans="1:6" x14ac:dyDescent="0.3">
      <c r="A69" t="s">
        <v>137</v>
      </c>
      <c r="B69">
        <v>0</v>
      </c>
      <c r="C69" t="s">
        <v>138</v>
      </c>
      <c r="D69">
        <v>0</v>
      </c>
      <c r="E69">
        <v>0</v>
      </c>
      <c r="F69">
        <v>3180000</v>
      </c>
    </row>
    <row r="70" spans="1:6" x14ac:dyDescent="0.3">
      <c r="A70" t="s">
        <v>139</v>
      </c>
      <c r="B70">
        <v>5</v>
      </c>
      <c r="C70" t="s">
        <v>140</v>
      </c>
      <c r="D70">
        <v>0</v>
      </c>
      <c r="E70">
        <v>0</v>
      </c>
      <c r="F70">
        <v>1690000</v>
      </c>
    </row>
    <row r="71" spans="1:6" x14ac:dyDescent="0.3">
      <c r="A71" t="s">
        <v>141</v>
      </c>
      <c r="B71">
        <v>8</v>
      </c>
      <c r="C71" t="s">
        <v>142</v>
      </c>
      <c r="D71">
        <v>0</v>
      </c>
      <c r="E71">
        <v>0</v>
      </c>
      <c r="F71">
        <v>5850000</v>
      </c>
    </row>
    <row r="72" spans="1:6" x14ac:dyDescent="0.3">
      <c r="A72" t="s">
        <v>141</v>
      </c>
      <c r="B72">
        <v>8</v>
      </c>
      <c r="C72" t="s">
        <v>143</v>
      </c>
      <c r="D72">
        <v>0</v>
      </c>
      <c r="E72">
        <v>0</v>
      </c>
      <c r="F72">
        <v>690000</v>
      </c>
    </row>
    <row r="73" spans="1:6" x14ac:dyDescent="0.3">
      <c r="A73" t="s">
        <v>144</v>
      </c>
      <c r="B73">
        <v>9</v>
      </c>
      <c r="C73" t="s">
        <v>145</v>
      </c>
      <c r="D73">
        <v>0</v>
      </c>
      <c r="E73">
        <v>0</v>
      </c>
      <c r="F73">
        <v>325000</v>
      </c>
    </row>
    <row r="74" spans="1:6" x14ac:dyDescent="0.3">
      <c r="A74" t="s">
        <v>146</v>
      </c>
      <c r="B74">
        <v>2</v>
      </c>
      <c r="C74" t="s">
        <v>147</v>
      </c>
      <c r="D74">
        <v>0</v>
      </c>
      <c r="E74">
        <v>0</v>
      </c>
      <c r="F74">
        <v>5954000</v>
      </c>
    </row>
    <row r="75" spans="1:6" x14ac:dyDescent="0.3">
      <c r="A75" t="s">
        <v>148</v>
      </c>
      <c r="B75">
        <v>0</v>
      </c>
      <c r="C75" t="s">
        <v>149</v>
      </c>
      <c r="D75">
        <v>0</v>
      </c>
      <c r="E75">
        <v>0</v>
      </c>
      <c r="F75">
        <v>800000</v>
      </c>
    </row>
    <row r="76" spans="1:6" x14ac:dyDescent="0.3">
      <c r="A76" t="s">
        <v>150</v>
      </c>
      <c r="B76">
        <v>1</v>
      </c>
      <c r="C76" t="s">
        <v>151</v>
      </c>
      <c r="D76">
        <v>0</v>
      </c>
      <c r="E76">
        <v>0</v>
      </c>
      <c r="F76">
        <v>7200000</v>
      </c>
    </row>
    <row r="77" spans="1:6" x14ac:dyDescent="0.3">
      <c r="A77" t="s">
        <v>152</v>
      </c>
      <c r="C77" t="s">
        <v>153</v>
      </c>
      <c r="D77">
        <v>0</v>
      </c>
      <c r="E77">
        <v>0</v>
      </c>
      <c r="F77">
        <v>3450000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4"/>
  <sheetViews>
    <sheetView workbookViewId="0"/>
  </sheetViews>
  <sheetFormatPr baseColWidth="10" defaultColWidth="8.88671875" defaultRowHeight="14.4" x14ac:dyDescent="0.3"/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 t="s">
        <v>20</v>
      </c>
      <c r="B2">
        <v>1</v>
      </c>
      <c r="C2" t="s">
        <v>21</v>
      </c>
      <c r="D2">
        <v>0</v>
      </c>
      <c r="E2">
        <v>0</v>
      </c>
      <c r="F2">
        <v>1530000</v>
      </c>
    </row>
    <row r="3" spans="1:6" x14ac:dyDescent="0.3">
      <c r="A3" t="s">
        <v>30</v>
      </c>
      <c r="B3">
        <v>4</v>
      </c>
      <c r="C3" t="s">
        <v>31</v>
      </c>
      <c r="D3">
        <v>0</v>
      </c>
      <c r="E3">
        <v>0</v>
      </c>
      <c r="F3">
        <v>1030000</v>
      </c>
    </row>
    <row r="4" spans="1:6" x14ac:dyDescent="0.3">
      <c r="A4" t="s">
        <v>42</v>
      </c>
      <c r="B4">
        <v>5</v>
      </c>
      <c r="C4" t="s">
        <v>43</v>
      </c>
      <c r="D4">
        <v>0</v>
      </c>
      <c r="E4">
        <v>0</v>
      </c>
      <c r="F4">
        <v>356000</v>
      </c>
    </row>
    <row r="5" spans="1:6" x14ac:dyDescent="0.3">
      <c r="A5" t="s">
        <v>44</v>
      </c>
      <c r="B5">
        <v>0</v>
      </c>
      <c r="C5" t="s">
        <v>45</v>
      </c>
      <c r="D5">
        <v>0</v>
      </c>
      <c r="E5">
        <v>0</v>
      </c>
      <c r="F5">
        <v>690000</v>
      </c>
    </row>
    <row r="6" spans="1:6" x14ac:dyDescent="0.3">
      <c r="A6" t="s">
        <v>69</v>
      </c>
      <c r="B6">
        <v>8</v>
      </c>
      <c r="C6" t="s">
        <v>70</v>
      </c>
      <c r="D6">
        <v>0</v>
      </c>
      <c r="E6">
        <v>0</v>
      </c>
      <c r="F6">
        <v>1040000</v>
      </c>
    </row>
    <row r="7" spans="1:6" x14ac:dyDescent="0.3">
      <c r="A7" t="s">
        <v>73</v>
      </c>
      <c r="B7">
        <v>8</v>
      </c>
      <c r="C7" t="s">
        <v>74</v>
      </c>
      <c r="D7">
        <v>0</v>
      </c>
      <c r="E7">
        <v>0</v>
      </c>
      <c r="F7">
        <v>690000</v>
      </c>
    </row>
    <row r="8" spans="1:6" x14ac:dyDescent="0.3">
      <c r="A8" t="s">
        <v>95</v>
      </c>
      <c r="B8">
        <v>8</v>
      </c>
      <c r="C8" t="s">
        <v>96</v>
      </c>
      <c r="D8">
        <v>0</v>
      </c>
      <c r="E8">
        <v>0</v>
      </c>
      <c r="F8">
        <v>980000</v>
      </c>
    </row>
    <row r="9" spans="1:6" x14ac:dyDescent="0.3">
      <c r="A9" t="s">
        <v>99</v>
      </c>
      <c r="B9">
        <v>9</v>
      </c>
      <c r="C9" t="s">
        <v>100</v>
      </c>
      <c r="D9">
        <v>0</v>
      </c>
      <c r="E9">
        <v>0</v>
      </c>
      <c r="F9">
        <v>690000</v>
      </c>
    </row>
    <row r="10" spans="1:6" x14ac:dyDescent="0.3">
      <c r="A10" t="s">
        <v>110</v>
      </c>
      <c r="B10">
        <v>4</v>
      </c>
      <c r="C10" t="s">
        <v>111</v>
      </c>
      <c r="D10">
        <v>0</v>
      </c>
      <c r="E10">
        <v>0</v>
      </c>
      <c r="F10">
        <v>392000</v>
      </c>
    </row>
    <row r="11" spans="1:6" x14ac:dyDescent="0.3">
      <c r="A11" t="s">
        <v>120</v>
      </c>
      <c r="B11">
        <v>1</v>
      </c>
      <c r="C11" t="s">
        <v>121</v>
      </c>
      <c r="D11">
        <v>0</v>
      </c>
      <c r="E11">
        <v>0</v>
      </c>
      <c r="F11">
        <v>356000</v>
      </c>
    </row>
    <row r="12" spans="1:6" x14ac:dyDescent="0.3">
      <c r="A12" t="s">
        <v>128</v>
      </c>
      <c r="B12">
        <v>9</v>
      </c>
      <c r="C12" t="s">
        <v>125</v>
      </c>
      <c r="D12">
        <v>0</v>
      </c>
      <c r="E12">
        <v>0</v>
      </c>
      <c r="F12">
        <v>195000</v>
      </c>
    </row>
    <row r="13" spans="1:6" x14ac:dyDescent="0.3">
      <c r="A13" t="s">
        <v>139</v>
      </c>
      <c r="B13">
        <v>5</v>
      </c>
      <c r="C13" t="s">
        <v>140</v>
      </c>
      <c r="D13">
        <v>0</v>
      </c>
      <c r="E13">
        <v>0</v>
      </c>
      <c r="F13">
        <v>360000</v>
      </c>
    </row>
    <row r="14" spans="1:6" x14ac:dyDescent="0.3">
      <c r="A14" t="s">
        <v>146</v>
      </c>
      <c r="B14">
        <v>2</v>
      </c>
      <c r="C14" t="s">
        <v>147</v>
      </c>
      <c r="D14">
        <v>0</v>
      </c>
      <c r="E14">
        <v>0</v>
      </c>
      <c r="F14">
        <v>392000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0"/>
  <sheetViews>
    <sheetView workbookViewId="0"/>
  </sheetViews>
  <sheetFormatPr baseColWidth="10" defaultColWidth="8.88671875" defaultRowHeight="14.4" x14ac:dyDescent="0.3"/>
  <sheetData>
    <row r="1" spans="1:6" x14ac:dyDescent="0.3">
      <c r="A1" t="s">
        <v>154</v>
      </c>
      <c r="B1" t="s">
        <v>1</v>
      </c>
      <c r="C1" t="s">
        <v>155</v>
      </c>
      <c r="D1" t="s">
        <v>3</v>
      </c>
      <c r="E1" t="s">
        <v>4</v>
      </c>
      <c r="F1" t="s">
        <v>5</v>
      </c>
    </row>
    <row r="2" spans="1:6" x14ac:dyDescent="0.3">
      <c r="A2" t="s">
        <v>156</v>
      </c>
      <c r="B2">
        <v>3</v>
      </c>
      <c r="C2" t="s">
        <v>157</v>
      </c>
      <c r="D2">
        <v>0</v>
      </c>
      <c r="E2">
        <v>0</v>
      </c>
      <c r="F2">
        <v>485150</v>
      </c>
    </row>
    <row r="3" spans="1:6" x14ac:dyDescent="0.3">
      <c r="A3" t="s">
        <v>158</v>
      </c>
      <c r="B3">
        <v>6</v>
      </c>
      <c r="C3" t="s">
        <v>159</v>
      </c>
      <c r="D3">
        <v>0</v>
      </c>
      <c r="E3">
        <v>0</v>
      </c>
      <c r="F3">
        <v>67968</v>
      </c>
    </row>
    <row r="4" spans="1:6" x14ac:dyDescent="0.3">
      <c r="A4" t="s">
        <v>160</v>
      </c>
      <c r="B4">
        <v>9</v>
      </c>
      <c r="C4" t="s">
        <v>161</v>
      </c>
      <c r="D4">
        <v>420.15789473684208</v>
      </c>
      <c r="E4">
        <v>79.83</v>
      </c>
      <c r="F4">
        <v>37277</v>
      </c>
    </row>
    <row r="5" spans="1:6" x14ac:dyDescent="0.3">
      <c r="A5" t="s">
        <v>160</v>
      </c>
      <c r="B5">
        <v>9</v>
      </c>
      <c r="C5" t="s">
        <v>162</v>
      </c>
      <c r="D5">
        <v>50411.789473684214</v>
      </c>
      <c r="E5">
        <v>9578.24</v>
      </c>
      <c r="F5">
        <v>59990</v>
      </c>
    </row>
    <row r="6" spans="1:6" x14ac:dyDescent="0.3">
      <c r="A6" t="s">
        <v>163</v>
      </c>
      <c r="B6">
        <v>9</v>
      </c>
      <c r="C6" t="s">
        <v>164</v>
      </c>
      <c r="D6">
        <v>84020</v>
      </c>
      <c r="E6">
        <v>15963.8</v>
      </c>
      <c r="F6">
        <v>99983.8</v>
      </c>
    </row>
    <row r="7" spans="1:6" x14ac:dyDescent="0.3">
      <c r="A7" t="s">
        <v>165</v>
      </c>
      <c r="B7">
        <v>8</v>
      </c>
      <c r="C7" t="s">
        <v>166</v>
      </c>
      <c r="D7">
        <v>92421.052631578947</v>
      </c>
      <c r="E7">
        <v>17560</v>
      </c>
      <c r="F7">
        <v>109980</v>
      </c>
    </row>
    <row r="8" spans="1:6" x14ac:dyDescent="0.3">
      <c r="A8" t="s">
        <v>167</v>
      </c>
      <c r="B8">
        <v>4</v>
      </c>
      <c r="C8" t="s">
        <v>168</v>
      </c>
      <c r="D8">
        <v>200000</v>
      </c>
      <c r="E8">
        <v>38000</v>
      </c>
      <c r="F8">
        <v>238000</v>
      </c>
    </row>
    <row r="9" spans="1:6" x14ac:dyDescent="0.3">
      <c r="A9" t="s">
        <v>169</v>
      </c>
      <c r="B9">
        <v>7</v>
      </c>
      <c r="C9" t="s">
        <v>170</v>
      </c>
      <c r="D9">
        <v>36231.57894736842</v>
      </c>
      <c r="E9">
        <v>6884</v>
      </c>
      <c r="F9">
        <v>43119</v>
      </c>
    </row>
    <row r="10" spans="1:6" x14ac:dyDescent="0.3">
      <c r="A10" t="s">
        <v>171</v>
      </c>
      <c r="B10">
        <v>5</v>
      </c>
      <c r="C10" t="s">
        <v>172</v>
      </c>
      <c r="D10">
        <v>26977.15789473684</v>
      </c>
      <c r="E10">
        <v>5125.66</v>
      </c>
      <c r="F10">
        <v>32102.81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71"/>
  <sheetViews>
    <sheetView topLeftCell="A64" workbookViewId="0">
      <selection activeCell="F71" sqref="F2:F71"/>
    </sheetView>
  </sheetViews>
  <sheetFormatPr baseColWidth="10" defaultColWidth="8.88671875" defaultRowHeight="14.4" x14ac:dyDescent="0.3"/>
  <cols>
    <col min="1" max="1" width="11" bestFit="1" customWidth="1"/>
    <col min="2" max="2" width="3.33203125" bestFit="1" customWidth="1"/>
    <col min="3" max="3" width="51.6640625" bestFit="1" customWidth="1"/>
    <col min="4" max="4" width="12" bestFit="1" customWidth="1"/>
    <col min="5" max="6" width="11" bestFit="1" customWidth="1"/>
  </cols>
  <sheetData>
    <row r="1" spans="1:6" x14ac:dyDescent="0.3">
      <c r="A1" t="s">
        <v>154</v>
      </c>
      <c r="B1" t="s">
        <v>1</v>
      </c>
      <c r="C1" t="s">
        <v>155</v>
      </c>
      <c r="D1" t="s">
        <v>3</v>
      </c>
      <c r="E1" t="s">
        <v>4</v>
      </c>
      <c r="F1" t="s">
        <v>5</v>
      </c>
    </row>
    <row r="2" spans="1:6" x14ac:dyDescent="0.3">
      <c r="A2" t="s">
        <v>173</v>
      </c>
      <c r="B2">
        <v>9</v>
      </c>
      <c r="C2" t="s">
        <v>174</v>
      </c>
      <c r="D2">
        <v>672275</v>
      </c>
      <c r="E2">
        <v>127732.25</v>
      </c>
      <c r="F2">
        <v>800007.25</v>
      </c>
    </row>
    <row r="3" spans="1:6" x14ac:dyDescent="0.3">
      <c r="A3" t="s">
        <v>175</v>
      </c>
      <c r="B3">
        <v>1</v>
      </c>
      <c r="C3" t="s">
        <v>176</v>
      </c>
      <c r="D3">
        <v>622731.05263157887</v>
      </c>
      <c r="E3">
        <v>118318.9</v>
      </c>
      <c r="F3">
        <v>741050</v>
      </c>
    </row>
    <row r="4" spans="1:6" x14ac:dyDescent="0.3">
      <c r="A4" t="s">
        <v>177</v>
      </c>
      <c r="B4">
        <v>6</v>
      </c>
      <c r="C4" t="s">
        <v>178</v>
      </c>
      <c r="D4">
        <v>269747.89473684208</v>
      </c>
      <c r="E4">
        <v>51252.100000000013</v>
      </c>
      <c r="F4">
        <v>321000</v>
      </c>
    </row>
    <row r="5" spans="1:6" x14ac:dyDescent="0.3">
      <c r="A5" t="s">
        <v>179</v>
      </c>
      <c r="B5">
        <v>6</v>
      </c>
      <c r="C5" t="s">
        <v>180</v>
      </c>
      <c r="D5">
        <v>131848.73684210531</v>
      </c>
      <c r="E5">
        <v>25051.26</v>
      </c>
      <c r="F5">
        <v>156900</v>
      </c>
    </row>
    <row r="6" spans="1:6" x14ac:dyDescent="0.3">
      <c r="A6" t="s">
        <v>181</v>
      </c>
      <c r="B6">
        <v>5</v>
      </c>
      <c r="C6" t="s">
        <v>182</v>
      </c>
      <c r="D6">
        <v>225314.84210526309</v>
      </c>
      <c r="E6">
        <v>42809.82</v>
      </c>
      <c r="F6">
        <v>491074</v>
      </c>
    </row>
    <row r="7" spans="1:6" x14ac:dyDescent="0.3">
      <c r="A7" t="s">
        <v>183</v>
      </c>
      <c r="B7">
        <v>2</v>
      </c>
      <c r="C7" t="s">
        <v>184</v>
      </c>
      <c r="D7">
        <v>38655.473684210527</v>
      </c>
      <c r="E7">
        <v>7344.54</v>
      </c>
      <c r="F7">
        <v>46000</v>
      </c>
    </row>
    <row r="8" spans="1:6" x14ac:dyDescent="0.3">
      <c r="A8" t="s">
        <v>185</v>
      </c>
      <c r="B8">
        <v>9</v>
      </c>
      <c r="C8" t="s">
        <v>186</v>
      </c>
      <c r="D8">
        <v>117479</v>
      </c>
      <c r="E8">
        <v>22321.01</v>
      </c>
      <c r="F8">
        <v>139800</v>
      </c>
    </row>
    <row r="9" spans="1:6" x14ac:dyDescent="0.3">
      <c r="A9" t="s">
        <v>187</v>
      </c>
      <c r="B9">
        <v>6</v>
      </c>
      <c r="C9" t="s">
        <v>188</v>
      </c>
      <c r="D9">
        <v>220209</v>
      </c>
      <c r="E9">
        <v>41839.71</v>
      </c>
      <c r="F9">
        <v>262048.71</v>
      </c>
    </row>
    <row r="10" spans="1:6" x14ac:dyDescent="0.3">
      <c r="A10" t="s">
        <v>189</v>
      </c>
      <c r="B10">
        <v>1</v>
      </c>
      <c r="C10" t="s">
        <v>190</v>
      </c>
      <c r="D10">
        <v>26242.10526315789</v>
      </c>
      <c r="E10">
        <v>4986</v>
      </c>
      <c r="F10">
        <v>31230</v>
      </c>
    </row>
    <row r="11" spans="1:6" x14ac:dyDescent="0.3">
      <c r="A11" t="s">
        <v>191</v>
      </c>
      <c r="B11">
        <v>3</v>
      </c>
      <c r="C11" t="s">
        <v>192</v>
      </c>
      <c r="D11">
        <v>75991.578947368413</v>
      </c>
      <c r="E11">
        <v>14438.4</v>
      </c>
      <c r="F11">
        <v>90500</v>
      </c>
    </row>
    <row r="12" spans="1:6" x14ac:dyDescent="0.3">
      <c r="A12" t="s">
        <v>193</v>
      </c>
      <c r="B12">
        <v>2</v>
      </c>
      <c r="C12" t="s">
        <v>194</v>
      </c>
      <c r="D12">
        <v>4199663.8421052629</v>
      </c>
      <c r="E12">
        <v>797936.13</v>
      </c>
      <c r="F12">
        <v>4997600</v>
      </c>
    </row>
    <row r="13" spans="1:6" x14ac:dyDescent="0.3">
      <c r="A13" t="s">
        <v>195</v>
      </c>
      <c r="B13">
        <v>4</v>
      </c>
      <c r="C13" t="s">
        <v>196</v>
      </c>
      <c r="D13">
        <v>46468.42105263158</v>
      </c>
      <c r="E13">
        <v>8829</v>
      </c>
      <c r="F13">
        <v>55300</v>
      </c>
    </row>
    <row r="14" spans="1:6" x14ac:dyDescent="0.3">
      <c r="A14" t="s">
        <v>197</v>
      </c>
      <c r="B14">
        <v>4</v>
      </c>
      <c r="C14" t="s">
        <v>198</v>
      </c>
      <c r="D14">
        <v>41931.57894736842</v>
      </c>
      <c r="E14">
        <v>7967</v>
      </c>
      <c r="F14">
        <v>49900</v>
      </c>
    </row>
    <row r="15" spans="1:6" x14ac:dyDescent="0.3">
      <c r="A15" t="s">
        <v>199</v>
      </c>
      <c r="B15">
        <v>1</v>
      </c>
      <c r="C15" t="s">
        <v>200</v>
      </c>
      <c r="D15">
        <v>150546.4210526316</v>
      </c>
      <c r="E15">
        <v>28603.82</v>
      </c>
      <c r="F15">
        <v>179150.22</v>
      </c>
    </row>
    <row r="16" spans="1:6" x14ac:dyDescent="0.3">
      <c r="A16" t="s">
        <v>158</v>
      </c>
      <c r="B16">
        <v>6</v>
      </c>
      <c r="C16" t="s">
        <v>159</v>
      </c>
      <c r="D16">
        <v>1464978.9473684209</v>
      </c>
      <c r="E16">
        <v>278346</v>
      </c>
      <c r="F16">
        <v>3196053</v>
      </c>
    </row>
    <row r="17" spans="1:6" x14ac:dyDescent="0.3">
      <c r="A17" t="s">
        <v>158</v>
      </c>
      <c r="B17">
        <v>6</v>
      </c>
      <c r="C17" t="s">
        <v>201</v>
      </c>
      <c r="D17">
        <v>1105794.7368421049</v>
      </c>
      <c r="E17">
        <v>210101</v>
      </c>
      <c r="F17">
        <v>2356415</v>
      </c>
    </row>
    <row r="18" spans="1:6" x14ac:dyDescent="0.3">
      <c r="A18" t="s">
        <v>202</v>
      </c>
      <c r="B18">
        <v>8</v>
      </c>
      <c r="C18" t="s">
        <v>203</v>
      </c>
      <c r="D18">
        <v>265684.21052631579</v>
      </c>
      <c r="E18">
        <v>50480</v>
      </c>
      <c r="F18">
        <v>783580</v>
      </c>
    </row>
    <row r="19" spans="1:6" x14ac:dyDescent="0.3">
      <c r="A19" t="s">
        <v>204</v>
      </c>
      <c r="B19">
        <v>1</v>
      </c>
      <c r="C19" t="s">
        <v>205</v>
      </c>
      <c r="D19">
        <v>364000</v>
      </c>
      <c r="E19">
        <v>69160</v>
      </c>
      <c r="F19">
        <v>433160</v>
      </c>
    </row>
    <row r="20" spans="1:6" x14ac:dyDescent="0.3">
      <c r="A20" t="s">
        <v>206</v>
      </c>
      <c r="B20">
        <v>1</v>
      </c>
      <c r="C20" t="s">
        <v>207</v>
      </c>
      <c r="D20">
        <v>53697.473684210527</v>
      </c>
      <c r="E20">
        <v>10202.52</v>
      </c>
      <c r="F20">
        <v>80850</v>
      </c>
    </row>
    <row r="21" spans="1:6" x14ac:dyDescent="0.3">
      <c r="A21" t="s">
        <v>208</v>
      </c>
      <c r="B21">
        <v>6</v>
      </c>
      <c r="C21" t="s">
        <v>209</v>
      </c>
      <c r="D21">
        <v>152479.10526315789</v>
      </c>
      <c r="E21">
        <v>28971.03</v>
      </c>
      <c r="F21">
        <v>181450</v>
      </c>
    </row>
    <row r="22" spans="1:6" x14ac:dyDescent="0.3">
      <c r="A22" t="s">
        <v>210</v>
      </c>
      <c r="B22">
        <v>4</v>
      </c>
      <c r="C22" t="s">
        <v>211</v>
      </c>
      <c r="D22">
        <v>158655.4210526316</v>
      </c>
      <c r="E22">
        <v>30144.53</v>
      </c>
      <c r="F22">
        <v>188800.01</v>
      </c>
    </row>
    <row r="23" spans="1:6" x14ac:dyDescent="0.3">
      <c r="A23" t="s">
        <v>212</v>
      </c>
      <c r="B23">
        <v>7</v>
      </c>
      <c r="C23" t="s">
        <v>213</v>
      </c>
      <c r="D23">
        <v>435547.05263157887</v>
      </c>
      <c r="E23">
        <v>82753.94</v>
      </c>
      <c r="F23">
        <v>518301</v>
      </c>
    </row>
    <row r="24" spans="1:6" x14ac:dyDescent="0.3">
      <c r="A24" t="s">
        <v>214</v>
      </c>
      <c r="B24">
        <v>1</v>
      </c>
      <c r="C24" t="s">
        <v>215</v>
      </c>
      <c r="D24">
        <v>50336.1052631579</v>
      </c>
      <c r="E24">
        <v>9563.86</v>
      </c>
      <c r="F24">
        <v>59900</v>
      </c>
    </row>
    <row r="25" spans="1:6" x14ac:dyDescent="0.3">
      <c r="A25" t="s">
        <v>160</v>
      </c>
      <c r="B25">
        <v>9</v>
      </c>
      <c r="C25" t="s">
        <v>161</v>
      </c>
      <c r="D25">
        <v>2751335.6842105258</v>
      </c>
      <c r="E25">
        <v>522753.78</v>
      </c>
      <c r="F25">
        <v>3466163</v>
      </c>
    </row>
    <row r="26" spans="1:6" x14ac:dyDescent="0.3">
      <c r="A26" t="s">
        <v>160</v>
      </c>
      <c r="B26">
        <v>9</v>
      </c>
      <c r="C26" t="s">
        <v>162</v>
      </c>
      <c r="D26">
        <v>352618.42105263157</v>
      </c>
      <c r="E26">
        <v>66997.5</v>
      </c>
      <c r="F26">
        <v>581890</v>
      </c>
    </row>
    <row r="27" spans="1:6" x14ac:dyDescent="0.3">
      <c r="A27" t="s">
        <v>163</v>
      </c>
      <c r="B27">
        <v>9</v>
      </c>
      <c r="C27" t="s">
        <v>164</v>
      </c>
      <c r="D27">
        <v>1313277</v>
      </c>
      <c r="E27">
        <v>249522.63</v>
      </c>
      <c r="F27">
        <v>1562799.63</v>
      </c>
    </row>
    <row r="28" spans="1:6" x14ac:dyDescent="0.3">
      <c r="A28" t="s">
        <v>216</v>
      </c>
      <c r="B28">
        <v>1</v>
      </c>
      <c r="C28" t="s">
        <v>217</v>
      </c>
      <c r="D28">
        <v>252.63157894736841</v>
      </c>
      <c r="E28">
        <v>48</v>
      </c>
      <c r="F28">
        <v>96500</v>
      </c>
    </row>
    <row r="29" spans="1:6" x14ac:dyDescent="0.3">
      <c r="A29" t="s">
        <v>218</v>
      </c>
      <c r="B29">
        <v>6</v>
      </c>
      <c r="C29" t="s">
        <v>219</v>
      </c>
      <c r="D29">
        <v>99810</v>
      </c>
      <c r="E29">
        <v>18963.900000000001</v>
      </c>
      <c r="F29">
        <v>118773.9</v>
      </c>
    </row>
    <row r="30" spans="1:6" x14ac:dyDescent="0.3">
      <c r="A30" t="s">
        <v>220</v>
      </c>
      <c r="B30">
        <v>1</v>
      </c>
      <c r="C30" t="s">
        <v>221</v>
      </c>
      <c r="D30">
        <v>78331.578947368427</v>
      </c>
      <c r="E30">
        <v>14883</v>
      </c>
      <c r="F30">
        <v>93212</v>
      </c>
    </row>
    <row r="31" spans="1:6" x14ac:dyDescent="0.3">
      <c r="A31" t="s">
        <v>222</v>
      </c>
      <c r="B31">
        <v>0</v>
      </c>
      <c r="C31" t="s">
        <v>223</v>
      </c>
      <c r="D31">
        <v>216974.78947368421</v>
      </c>
      <c r="E31">
        <v>41225.21</v>
      </c>
      <c r="F31">
        <v>258200</v>
      </c>
    </row>
    <row r="32" spans="1:6" x14ac:dyDescent="0.3">
      <c r="A32" t="s">
        <v>165</v>
      </c>
      <c r="B32">
        <v>8</v>
      </c>
      <c r="C32" t="s">
        <v>166</v>
      </c>
      <c r="D32">
        <v>3026631.578947369</v>
      </c>
      <c r="E32">
        <v>575060</v>
      </c>
      <c r="F32">
        <v>3601694</v>
      </c>
    </row>
    <row r="33" spans="1:6" x14ac:dyDescent="0.3">
      <c r="A33" t="s">
        <v>224</v>
      </c>
      <c r="B33">
        <v>9</v>
      </c>
      <c r="C33" t="s">
        <v>225</v>
      </c>
      <c r="D33">
        <v>1323726.894736842</v>
      </c>
      <c r="E33">
        <v>251508.11</v>
      </c>
      <c r="F33">
        <v>1575581</v>
      </c>
    </row>
    <row r="34" spans="1:6" x14ac:dyDescent="0.3">
      <c r="A34" t="s">
        <v>226</v>
      </c>
      <c r="B34">
        <v>8</v>
      </c>
      <c r="C34" t="s">
        <v>227</v>
      </c>
      <c r="D34">
        <v>214287.36842105261</v>
      </c>
      <c r="E34">
        <v>40714.6</v>
      </c>
      <c r="F34">
        <v>311299.99</v>
      </c>
    </row>
    <row r="35" spans="1:6" x14ac:dyDescent="0.3">
      <c r="A35" t="s">
        <v>228</v>
      </c>
      <c r="B35">
        <v>1</v>
      </c>
      <c r="C35" t="s">
        <v>229</v>
      </c>
      <c r="D35">
        <v>32868.368421052633</v>
      </c>
      <c r="E35">
        <v>6244.99</v>
      </c>
      <c r="F35">
        <v>280786</v>
      </c>
    </row>
    <row r="36" spans="1:6" x14ac:dyDescent="0.3">
      <c r="A36" t="s">
        <v>230</v>
      </c>
      <c r="B36">
        <v>3</v>
      </c>
      <c r="C36" t="s">
        <v>231</v>
      </c>
      <c r="D36">
        <v>9675.1578947368416</v>
      </c>
      <c r="E36">
        <v>1838.28</v>
      </c>
      <c r="F36">
        <v>12000</v>
      </c>
    </row>
    <row r="37" spans="1:6" x14ac:dyDescent="0.3">
      <c r="A37" t="s">
        <v>232</v>
      </c>
      <c r="B37">
        <v>7</v>
      </c>
      <c r="C37" t="s">
        <v>233</v>
      </c>
      <c r="D37">
        <v>39243.684210526313</v>
      </c>
      <c r="E37">
        <v>7456.3</v>
      </c>
      <c r="F37">
        <v>50600</v>
      </c>
    </row>
    <row r="38" spans="1:6" x14ac:dyDescent="0.3">
      <c r="A38" t="s">
        <v>234</v>
      </c>
      <c r="B38">
        <v>6</v>
      </c>
      <c r="C38" t="s">
        <v>235</v>
      </c>
      <c r="D38">
        <v>29244</v>
      </c>
      <c r="E38">
        <v>5556.36</v>
      </c>
      <c r="F38">
        <v>34800.36</v>
      </c>
    </row>
    <row r="39" spans="1:6" x14ac:dyDescent="0.3">
      <c r="A39" t="s">
        <v>236</v>
      </c>
      <c r="B39">
        <v>1</v>
      </c>
      <c r="C39" t="s">
        <v>237</v>
      </c>
      <c r="D39">
        <v>5094930.1578947371</v>
      </c>
      <c r="E39">
        <v>968036.73</v>
      </c>
      <c r="F39">
        <v>8549750.1199999992</v>
      </c>
    </row>
    <row r="40" spans="1:6" x14ac:dyDescent="0.3">
      <c r="A40" t="s">
        <v>167</v>
      </c>
      <c r="B40">
        <v>4</v>
      </c>
      <c r="C40" t="s">
        <v>168</v>
      </c>
      <c r="D40">
        <v>308403.36842105258</v>
      </c>
      <c r="E40">
        <v>58596.639999999999</v>
      </c>
      <c r="F40">
        <v>367000</v>
      </c>
    </row>
    <row r="41" spans="1:6" x14ac:dyDescent="0.3">
      <c r="A41" t="s">
        <v>238</v>
      </c>
      <c r="B41">
        <v>3</v>
      </c>
      <c r="C41" t="s">
        <v>239</v>
      </c>
      <c r="D41">
        <v>1440747.368421053</v>
      </c>
      <c r="E41">
        <v>273742</v>
      </c>
      <c r="F41">
        <v>1966501</v>
      </c>
    </row>
    <row r="42" spans="1:6" x14ac:dyDescent="0.3">
      <c r="A42" t="s">
        <v>240</v>
      </c>
      <c r="B42">
        <v>1</v>
      </c>
      <c r="C42" t="s">
        <v>241</v>
      </c>
      <c r="D42">
        <v>172268.89473684211</v>
      </c>
      <c r="E42">
        <v>32731.09</v>
      </c>
      <c r="F42">
        <v>205000</v>
      </c>
    </row>
    <row r="43" spans="1:6" x14ac:dyDescent="0.3">
      <c r="A43" t="s">
        <v>169</v>
      </c>
      <c r="B43">
        <v>7</v>
      </c>
      <c r="C43" t="s">
        <v>170</v>
      </c>
      <c r="D43">
        <v>873963.42105263146</v>
      </c>
      <c r="E43">
        <v>166053.04999999999</v>
      </c>
      <c r="F43">
        <v>1040016.64</v>
      </c>
    </row>
    <row r="44" spans="1:6" x14ac:dyDescent="0.3">
      <c r="A44" t="s">
        <v>242</v>
      </c>
      <c r="B44">
        <v>6</v>
      </c>
      <c r="C44" t="s">
        <v>243</v>
      </c>
      <c r="D44">
        <v>113363.1578947368</v>
      </c>
      <c r="E44">
        <v>21539</v>
      </c>
      <c r="F44">
        <v>134900</v>
      </c>
    </row>
    <row r="45" spans="1:6" x14ac:dyDescent="0.3">
      <c r="A45" t="s">
        <v>244</v>
      </c>
      <c r="B45">
        <v>6</v>
      </c>
      <c r="C45" t="s">
        <v>245</v>
      </c>
      <c r="D45">
        <v>332084.21052631579</v>
      </c>
      <c r="E45">
        <v>63096</v>
      </c>
      <c r="F45">
        <v>395178</v>
      </c>
    </row>
    <row r="46" spans="1:6" x14ac:dyDescent="0.3">
      <c r="A46" t="s">
        <v>246</v>
      </c>
      <c r="B46">
        <v>2</v>
      </c>
      <c r="C46" t="s">
        <v>247</v>
      </c>
      <c r="D46">
        <v>192857.15789473691</v>
      </c>
      <c r="E46">
        <v>36642.86</v>
      </c>
      <c r="F46">
        <v>229500</v>
      </c>
    </row>
    <row r="47" spans="1:6" x14ac:dyDescent="0.3">
      <c r="A47" t="s">
        <v>248</v>
      </c>
      <c r="B47">
        <v>2</v>
      </c>
      <c r="C47" t="s">
        <v>249</v>
      </c>
      <c r="D47">
        <v>721739.57894736831</v>
      </c>
      <c r="E47">
        <v>137130.51999999999</v>
      </c>
      <c r="F47">
        <v>973622.02</v>
      </c>
    </row>
    <row r="48" spans="1:6" x14ac:dyDescent="0.3">
      <c r="A48" t="s">
        <v>250</v>
      </c>
      <c r="B48">
        <v>7</v>
      </c>
      <c r="C48" t="s">
        <v>251</v>
      </c>
      <c r="D48">
        <v>85714.31578947368</v>
      </c>
      <c r="E48">
        <v>16285.72</v>
      </c>
      <c r="F48">
        <v>102000</v>
      </c>
    </row>
    <row r="49" spans="1:6" x14ac:dyDescent="0.3">
      <c r="A49" t="s">
        <v>252</v>
      </c>
      <c r="B49">
        <v>8</v>
      </c>
      <c r="C49" t="s">
        <v>253</v>
      </c>
      <c r="D49">
        <v>487394.94736842101</v>
      </c>
      <c r="E49">
        <v>92605.04</v>
      </c>
      <c r="F49">
        <v>580000</v>
      </c>
    </row>
    <row r="50" spans="1:6" x14ac:dyDescent="0.3">
      <c r="A50" t="s">
        <v>254</v>
      </c>
      <c r="B50">
        <v>1</v>
      </c>
      <c r="C50" t="s">
        <v>255</v>
      </c>
      <c r="D50">
        <v>1009411.631578947</v>
      </c>
      <c r="E50">
        <v>191788.21</v>
      </c>
      <c r="F50">
        <v>1201200</v>
      </c>
    </row>
    <row r="51" spans="1:6" x14ac:dyDescent="0.3">
      <c r="A51" t="s">
        <v>256</v>
      </c>
      <c r="B51">
        <v>4</v>
      </c>
      <c r="C51" t="s">
        <v>257</v>
      </c>
      <c r="D51">
        <v>2750489.421052631</v>
      </c>
      <c r="E51">
        <v>522592.99</v>
      </c>
      <c r="F51">
        <v>3327500</v>
      </c>
    </row>
    <row r="52" spans="1:6" x14ac:dyDescent="0.3">
      <c r="A52" t="s">
        <v>258</v>
      </c>
      <c r="B52">
        <v>7</v>
      </c>
      <c r="C52" t="s">
        <v>259</v>
      </c>
      <c r="D52">
        <v>445798.31578947371</v>
      </c>
      <c r="E52">
        <v>84701.68</v>
      </c>
      <c r="F52">
        <v>530500</v>
      </c>
    </row>
    <row r="53" spans="1:6" x14ac:dyDescent="0.3">
      <c r="A53" t="s">
        <v>260</v>
      </c>
      <c r="B53">
        <v>3</v>
      </c>
      <c r="C53" t="s">
        <v>261</v>
      </c>
      <c r="D53">
        <v>20168.05263157895</v>
      </c>
      <c r="E53">
        <v>3831.93</v>
      </c>
      <c r="F53">
        <v>114000</v>
      </c>
    </row>
    <row r="54" spans="1:6" x14ac:dyDescent="0.3">
      <c r="A54" t="s">
        <v>262</v>
      </c>
      <c r="B54">
        <v>5</v>
      </c>
      <c r="C54" t="s">
        <v>263</v>
      </c>
      <c r="D54">
        <v>65882</v>
      </c>
      <c r="E54">
        <v>12517.58</v>
      </c>
      <c r="F54">
        <v>195999.58</v>
      </c>
    </row>
    <row r="55" spans="1:6" x14ac:dyDescent="0.3">
      <c r="A55" t="s">
        <v>264</v>
      </c>
      <c r="B55">
        <v>2</v>
      </c>
      <c r="C55" t="s">
        <v>265</v>
      </c>
      <c r="D55">
        <v>133697.4210526316</v>
      </c>
      <c r="E55">
        <v>25402.51</v>
      </c>
      <c r="F55">
        <v>159100</v>
      </c>
    </row>
    <row r="56" spans="1:6" x14ac:dyDescent="0.3">
      <c r="A56" t="s">
        <v>266</v>
      </c>
      <c r="B56">
        <v>5</v>
      </c>
      <c r="C56" t="s">
        <v>267</v>
      </c>
      <c r="D56">
        <v>149663.9473684211</v>
      </c>
      <c r="E56">
        <v>28436.15</v>
      </c>
      <c r="F56">
        <v>178100.05</v>
      </c>
    </row>
    <row r="57" spans="1:6" x14ac:dyDescent="0.3">
      <c r="A57" t="s">
        <v>268</v>
      </c>
      <c r="B57">
        <v>8</v>
      </c>
      <c r="C57" t="s">
        <v>269</v>
      </c>
      <c r="D57">
        <v>11726</v>
      </c>
      <c r="E57">
        <v>2227.94</v>
      </c>
      <c r="F57">
        <v>65116.71</v>
      </c>
    </row>
    <row r="58" spans="1:6" x14ac:dyDescent="0.3">
      <c r="A58" t="s">
        <v>270</v>
      </c>
      <c r="B58">
        <v>1</v>
      </c>
      <c r="C58" t="s">
        <v>271</v>
      </c>
      <c r="D58">
        <v>578470</v>
      </c>
      <c r="E58">
        <v>109909.3</v>
      </c>
      <c r="F58">
        <v>688379.3</v>
      </c>
    </row>
    <row r="59" spans="1:6" x14ac:dyDescent="0.3">
      <c r="A59" t="s">
        <v>171</v>
      </c>
      <c r="B59">
        <v>5</v>
      </c>
      <c r="C59" t="s">
        <v>172</v>
      </c>
      <c r="D59">
        <v>798273.57894736843</v>
      </c>
      <c r="E59">
        <v>151671.98000000001</v>
      </c>
      <c r="F59">
        <v>949945.40999999992</v>
      </c>
    </row>
    <row r="60" spans="1:6" x14ac:dyDescent="0.3">
      <c r="A60" t="s">
        <v>272</v>
      </c>
      <c r="B60">
        <v>9</v>
      </c>
      <c r="C60" t="s">
        <v>273</v>
      </c>
      <c r="D60">
        <v>20168.067210526311</v>
      </c>
      <c r="E60">
        <v>3831.9327699999999</v>
      </c>
      <c r="F60">
        <v>24000</v>
      </c>
    </row>
    <row r="61" spans="1:6" x14ac:dyDescent="0.3">
      <c r="A61" t="s">
        <v>274</v>
      </c>
      <c r="B61">
        <v>1</v>
      </c>
      <c r="C61" t="s">
        <v>275</v>
      </c>
      <c r="D61">
        <v>265178.15789473691</v>
      </c>
      <c r="E61">
        <v>50383.85</v>
      </c>
      <c r="F61">
        <v>283000</v>
      </c>
    </row>
    <row r="62" spans="1:6" x14ac:dyDescent="0.3">
      <c r="A62" t="s">
        <v>276</v>
      </c>
      <c r="B62">
        <v>8</v>
      </c>
      <c r="C62" t="s">
        <v>277</v>
      </c>
      <c r="D62">
        <v>2842773.1578947371</v>
      </c>
      <c r="E62">
        <v>540126.9</v>
      </c>
      <c r="F62">
        <v>3382900</v>
      </c>
    </row>
    <row r="63" spans="1:6" x14ac:dyDescent="0.3">
      <c r="A63" t="s">
        <v>278</v>
      </c>
      <c r="B63">
        <v>7</v>
      </c>
      <c r="C63" t="s">
        <v>279</v>
      </c>
      <c r="D63">
        <v>1283827.7368421049</v>
      </c>
      <c r="E63">
        <v>243927.27</v>
      </c>
      <c r="F63">
        <v>1527755.01</v>
      </c>
    </row>
    <row r="64" spans="1:6" x14ac:dyDescent="0.3">
      <c r="A64" t="s">
        <v>280</v>
      </c>
      <c r="B64">
        <v>8</v>
      </c>
      <c r="C64" t="s">
        <v>281</v>
      </c>
      <c r="D64">
        <v>31578.94736842105</v>
      </c>
      <c r="E64">
        <v>6000</v>
      </c>
      <c r="F64">
        <v>126000</v>
      </c>
    </row>
    <row r="65" spans="1:6" x14ac:dyDescent="0.3">
      <c r="A65" t="s">
        <v>282</v>
      </c>
      <c r="B65">
        <v>9</v>
      </c>
      <c r="C65" t="s">
        <v>283</v>
      </c>
      <c r="D65">
        <v>56074.73684210526</v>
      </c>
      <c r="E65">
        <v>10654.2</v>
      </c>
      <c r="F65">
        <v>72000</v>
      </c>
    </row>
    <row r="66" spans="1:6" x14ac:dyDescent="0.3">
      <c r="A66" t="s">
        <v>284</v>
      </c>
      <c r="B66">
        <v>4</v>
      </c>
      <c r="C66" t="s">
        <v>285</v>
      </c>
      <c r="D66">
        <v>41932.773157894742</v>
      </c>
      <c r="E66">
        <v>7967.2268999999997</v>
      </c>
      <c r="F66">
        <v>49900</v>
      </c>
    </row>
    <row r="67" spans="1:6" x14ac:dyDescent="0.3">
      <c r="A67" t="s">
        <v>286</v>
      </c>
      <c r="B67">
        <v>4</v>
      </c>
      <c r="C67" t="s">
        <v>287</v>
      </c>
      <c r="D67">
        <v>162101</v>
      </c>
      <c r="E67">
        <v>30799.19</v>
      </c>
      <c r="F67">
        <v>192900</v>
      </c>
    </row>
    <row r="68" spans="1:6" x14ac:dyDescent="0.3">
      <c r="A68" t="s">
        <v>288</v>
      </c>
      <c r="B68">
        <v>1</v>
      </c>
      <c r="C68" t="s">
        <v>289</v>
      </c>
      <c r="D68">
        <v>1170000</v>
      </c>
      <c r="E68">
        <v>222300</v>
      </c>
      <c r="F68">
        <v>1392300</v>
      </c>
    </row>
    <row r="69" spans="1:6" x14ac:dyDescent="0.3">
      <c r="A69" t="s">
        <v>290</v>
      </c>
      <c r="B69">
        <v>1</v>
      </c>
      <c r="C69" t="s">
        <v>291</v>
      </c>
      <c r="D69">
        <v>1126974.9473684209</v>
      </c>
      <c r="E69">
        <v>214125.24</v>
      </c>
      <c r="F69">
        <v>1448100</v>
      </c>
    </row>
    <row r="70" spans="1:6" x14ac:dyDescent="0.3">
      <c r="A70" t="s">
        <v>292</v>
      </c>
      <c r="B70">
        <v>7</v>
      </c>
      <c r="C70" t="s">
        <v>293</v>
      </c>
      <c r="D70">
        <v>69747.894736842107</v>
      </c>
      <c r="E70">
        <v>13252.1</v>
      </c>
      <c r="F70">
        <v>83000</v>
      </c>
    </row>
    <row r="71" spans="1:6" x14ac:dyDescent="0.3">
      <c r="A71" t="s">
        <v>294</v>
      </c>
      <c r="B71">
        <v>1</v>
      </c>
      <c r="C71" t="s">
        <v>295</v>
      </c>
      <c r="D71">
        <v>86134.368421052641</v>
      </c>
      <c r="E71">
        <v>16365.53</v>
      </c>
      <c r="F71">
        <v>102500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33"/>
  <sheetViews>
    <sheetView workbookViewId="0"/>
  </sheetViews>
  <sheetFormatPr baseColWidth="10" defaultColWidth="8.88671875" defaultRowHeight="14.4" x14ac:dyDescent="0.3"/>
  <sheetData>
    <row r="1" spans="1:6" x14ac:dyDescent="0.3">
      <c r="A1" t="s">
        <v>154</v>
      </c>
      <c r="B1" t="s">
        <v>1</v>
      </c>
      <c r="C1" t="s">
        <v>155</v>
      </c>
      <c r="D1" t="s">
        <v>3</v>
      </c>
      <c r="E1" t="s">
        <v>4</v>
      </c>
      <c r="F1" t="s">
        <v>5</v>
      </c>
    </row>
    <row r="2" spans="1:6" x14ac:dyDescent="0.3">
      <c r="A2" t="s">
        <v>296</v>
      </c>
      <c r="B2">
        <v>5</v>
      </c>
      <c r="C2" t="s">
        <v>297</v>
      </c>
      <c r="D2">
        <v>0</v>
      </c>
      <c r="E2">
        <v>0</v>
      </c>
      <c r="F2">
        <v>280000</v>
      </c>
    </row>
    <row r="3" spans="1:6" x14ac:dyDescent="0.3">
      <c r="A3" t="s">
        <v>298</v>
      </c>
      <c r="B3">
        <v>3</v>
      </c>
      <c r="C3" t="s">
        <v>299</v>
      </c>
      <c r="D3">
        <v>0</v>
      </c>
      <c r="E3">
        <v>0</v>
      </c>
      <c r="F3">
        <v>5360000</v>
      </c>
    </row>
    <row r="4" spans="1:6" x14ac:dyDescent="0.3">
      <c r="A4" t="s">
        <v>300</v>
      </c>
      <c r="B4">
        <v>0</v>
      </c>
      <c r="C4" t="s">
        <v>301</v>
      </c>
      <c r="D4">
        <v>0</v>
      </c>
      <c r="E4">
        <v>0</v>
      </c>
      <c r="F4">
        <v>161260</v>
      </c>
    </row>
    <row r="5" spans="1:6" x14ac:dyDescent="0.3">
      <c r="A5" t="s">
        <v>173</v>
      </c>
      <c r="B5">
        <v>9</v>
      </c>
      <c r="C5" t="s">
        <v>174</v>
      </c>
      <c r="D5">
        <v>0</v>
      </c>
      <c r="E5">
        <v>0</v>
      </c>
      <c r="F5">
        <v>40000</v>
      </c>
    </row>
    <row r="6" spans="1:6" x14ac:dyDescent="0.3">
      <c r="A6" t="s">
        <v>302</v>
      </c>
      <c r="B6">
        <v>1</v>
      </c>
      <c r="C6" t="s">
        <v>303</v>
      </c>
      <c r="D6">
        <v>0</v>
      </c>
      <c r="E6">
        <v>0</v>
      </c>
      <c r="F6">
        <v>401490</v>
      </c>
    </row>
    <row r="7" spans="1:6" x14ac:dyDescent="0.3">
      <c r="A7" t="s">
        <v>304</v>
      </c>
      <c r="B7">
        <v>6</v>
      </c>
      <c r="C7" t="s">
        <v>305</v>
      </c>
      <c r="D7">
        <v>0</v>
      </c>
      <c r="E7">
        <v>0</v>
      </c>
      <c r="F7">
        <v>112755.6</v>
      </c>
    </row>
    <row r="8" spans="1:6" x14ac:dyDescent="0.3">
      <c r="A8" t="s">
        <v>306</v>
      </c>
      <c r="B8">
        <v>0</v>
      </c>
      <c r="C8" t="s">
        <v>307</v>
      </c>
      <c r="D8">
        <v>0</v>
      </c>
      <c r="E8">
        <v>0</v>
      </c>
      <c r="F8">
        <v>409200</v>
      </c>
    </row>
    <row r="9" spans="1:6" x14ac:dyDescent="0.3">
      <c r="A9" t="s">
        <v>181</v>
      </c>
      <c r="B9">
        <v>5</v>
      </c>
      <c r="C9" t="s">
        <v>182</v>
      </c>
      <c r="D9">
        <v>0</v>
      </c>
      <c r="E9">
        <v>0</v>
      </c>
      <c r="F9">
        <v>158200</v>
      </c>
    </row>
    <row r="10" spans="1:6" x14ac:dyDescent="0.3">
      <c r="A10" t="s">
        <v>308</v>
      </c>
      <c r="B10">
        <v>1</v>
      </c>
      <c r="C10" t="s">
        <v>309</v>
      </c>
      <c r="D10">
        <v>0</v>
      </c>
      <c r="E10">
        <v>0</v>
      </c>
      <c r="F10">
        <v>1350000</v>
      </c>
    </row>
    <row r="11" spans="1:6" x14ac:dyDescent="0.3">
      <c r="A11" t="s">
        <v>310</v>
      </c>
      <c r="B11">
        <v>4</v>
      </c>
      <c r="C11" t="s">
        <v>311</v>
      </c>
      <c r="D11">
        <v>0</v>
      </c>
      <c r="E11">
        <v>0</v>
      </c>
      <c r="F11">
        <v>804500</v>
      </c>
    </row>
    <row r="12" spans="1:6" x14ac:dyDescent="0.3">
      <c r="A12" t="s">
        <v>189</v>
      </c>
      <c r="B12">
        <v>1</v>
      </c>
      <c r="C12" t="s">
        <v>190</v>
      </c>
      <c r="D12">
        <v>0</v>
      </c>
      <c r="E12">
        <v>0</v>
      </c>
      <c r="F12">
        <v>59591</v>
      </c>
    </row>
    <row r="13" spans="1:6" x14ac:dyDescent="0.3">
      <c r="A13" t="s">
        <v>312</v>
      </c>
      <c r="B13">
        <v>9</v>
      </c>
      <c r="C13" t="s">
        <v>313</v>
      </c>
      <c r="D13">
        <v>0</v>
      </c>
      <c r="E13">
        <v>0</v>
      </c>
      <c r="F13">
        <v>279750</v>
      </c>
    </row>
    <row r="14" spans="1:6" x14ac:dyDescent="0.3">
      <c r="A14" t="s">
        <v>156</v>
      </c>
      <c r="B14">
        <v>3</v>
      </c>
      <c r="C14" t="s">
        <v>157</v>
      </c>
      <c r="D14">
        <v>0</v>
      </c>
      <c r="E14">
        <v>0</v>
      </c>
      <c r="F14">
        <v>18868138</v>
      </c>
    </row>
    <row r="15" spans="1:6" x14ac:dyDescent="0.3">
      <c r="A15" t="s">
        <v>314</v>
      </c>
      <c r="B15">
        <v>2</v>
      </c>
      <c r="C15" t="s">
        <v>315</v>
      </c>
      <c r="D15">
        <v>0</v>
      </c>
      <c r="E15">
        <v>0</v>
      </c>
      <c r="F15">
        <v>33652</v>
      </c>
    </row>
    <row r="16" spans="1:6" x14ac:dyDescent="0.3">
      <c r="A16" t="s">
        <v>158</v>
      </c>
      <c r="B16">
        <v>6</v>
      </c>
      <c r="C16" t="s">
        <v>159</v>
      </c>
      <c r="D16">
        <v>0</v>
      </c>
      <c r="E16">
        <v>0</v>
      </c>
      <c r="F16">
        <v>60143</v>
      </c>
    </row>
    <row r="17" spans="1:6" x14ac:dyDescent="0.3">
      <c r="A17" t="s">
        <v>316</v>
      </c>
      <c r="B17">
        <v>3</v>
      </c>
      <c r="C17" t="s">
        <v>317</v>
      </c>
      <c r="D17">
        <v>0</v>
      </c>
      <c r="E17">
        <v>0</v>
      </c>
      <c r="F17">
        <v>150041</v>
      </c>
    </row>
    <row r="18" spans="1:6" x14ac:dyDescent="0.3">
      <c r="A18" t="s">
        <v>160</v>
      </c>
      <c r="B18">
        <v>9</v>
      </c>
      <c r="C18" t="s">
        <v>162</v>
      </c>
      <c r="D18">
        <v>0</v>
      </c>
      <c r="E18">
        <v>0</v>
      </c>
      <c r="F18">
        <v>95900</v>
      </c>
    </row>
    <row r="19" spans="1:6" x14ac:dyDescent="0.3">
      <c r="A19" t="s">
        <v>220</v>
      </c>
      <c r="B19">
        <v>1</v>
      </c>
      <c r="C19" t="s">
        <v>221</v>
      </c>
      <c r="D19">
        <v>0</v>
      </c>
      <c r="E19">
        <v>0</v>
      </c>
      <c r="F19">
        <v>228274</v>
      </c>
    </row>
    <row r="20" spans="1:6" x14ac:dyDescent="0.3">
      <c r="A20" t="s">
        <v>318</v>
      </c>
      <c r="B20">
        <v>4</v>
      </c>
      <c r="C20" t="s">
        <v>319</v>
      </c>
      <c r="D20">
        <v>0</v>
      </c>
      <c r="E20">
        <v>0</v>
      </c>
      <c r="F20">
        <v>136901.85</v>
      </c>
    </row>
    <row r="21" spans="1:6" x14ac:dyDescent="0.3">
      <c r="A21" t="s">
        <v>236</v>
      </c>
      <c r="B21">
        <v>1</v>
      </c>
      <c r="C21" t="s">
        <v>237</v>
      </c>
      <c r="D21">
        <v>0</v>
      </c>
      <c r="E21">
        <v>0</v>
      </c>
      <c r="F21">
        <v>29210</v>
      </c>
    </row>
    <row r="22" spans="1:6" x14ac:dyDescent="0.3">
      <c r="A22" t="s">
        <v>320</v>
      </c>
      <c r="B22">
        <v>4</v>
      </c>
      <c r="C22" t="s">
        <v>321</v>
      </c>
      <c r="D22">
        <v>0</v>
      </c>
      <c r="E22">
        <v>0</v>
      </c>
      <c r="F22">
        <v>100000</v>
      </c>
    </row>
    <row r="23" spans="1:6" x14ac:dyDescent="0.3">
      <c r="A23" t="s">
        <v>322</v>
      </c>
      <c r="B23">
        <v>0</v>
      </c>
      <c r="C23" t="s">
        <v>323</v>
      </c>
      <c r="D23">
        <v>0</v>
      </c>
      <c r="E23">
        <v>0</v>
      </c>
      <c r="F23">
        <v>200000</v>
      </c>
    </row>
    <row r="24" spans="1:6" x14ac:dyDescent="0.3">
      <c r="A24" t="s">
        <v>324</v>
      </c>
      <c r="B24">
        <v>0</v>
      </c>
      <c r="C24" t="s">
        <v>325</v>
      </c>
      <c r="D24">
        <v>0</v>
      </c>
      <c r="E24">
        <v>0</v>
      </c>
      <c r="F24">
        <v>2900000</v>
      </c>
    </row>
    <row r="25" spans="1:6" x14ac:dyDescent="0.3">
      <c r="A25" t="s">
        <v>326</v>
      </c>
      <c r="B25">
        <v>4</v>
      </c>
      <c r="C25" t="s">
        <v>327</v>
      </c>
      <c r="D25">
        <v>0</v>
      </c>
      <c r="E25">
        <v>0</v>
      </c>
      <c r="F25">
        <v>4217944.4400000004</v>
      </c>
    </row>
    <row r="26" spans="1:6" x14ac:dyDescent="0.3">
      <c r="A26" t="s">
        <v>328</v>
      </c>
      <c r="B26">
        <v>2</v>
      </c>
      <c r="C26" t="s">
        <v>329</v>
      </c>
      <c r="D26">
        <v>0</v>
      </c>
      <c r="E26">
        <v>0</v>
      </c>
      <c r="F26">
        <v>3221255.91</v>
      </c>
    </row>
    <row r="27" spans="1:6" x14ac:dyDescent="0.3">
      <c r="A27" t="s">
        <v>330</v>
      </c>
      <c r="B27">
        <v>5</v>
      </c>
      <c r="C27" t="s">
        <v>331</v>
      </c>
      <c r="D27">
        <v>0</v>
      </c>
      <c r="E27">
        <v>0</v>
      </c>
      <c r="F27">
        <v>59000</v>
      </c>
    </row>
    <row r="28" spans="1:6" x14ac:dyDescent="0.3">
      <c r="A28" t="s">
        <v>332</v>
      </c>
      <c r="B28">
        <v>5</v>
      </c>
      <c r="C28" t="s">
        <v>333</v>
      </c>
      <c r="D28">
        <v>0</v>
      </c>
      <c r="E28">
        <v>0</v>
      </c>
      <c r="F28">
        <v>405065</v>
      </c>
    </row>
    <row r="29" spans="1:6" x14ac:dyDescent="0.3">
      <c r="A29" t="s">
        <v>334</v>
      </c>
      <c r="B29">
        <v>4</v>
      </c>
      <c r="C29" t="s">
        <v>335</v>
      </c>
      <c r="D29">
        <v>0</v>
      </c>
      <c r="E29">
        <v>0</v>
      </c>
      <c r="F29">
        <v>2999777.78</v>
      </c>
    </row>
    <row r="30" spans="1:6" x14ac:dyDescent="0.3">
      <c r="A30" t="s">
        <v>288</v>
      </c>
      <c r="B30">
        <v>1</v>
      </c>
      <c r="C30" t="s">
        <v>289</v>
      </c>
      <c r="D30">
        <v>0</v>
      </c>
      <c r="E30">
        <v>0</v>
      </c>
      <c r="F30">
        <v>70000</v>
      </c>
    </row>
    <row r="31" spans="1:6" x14ac:dyDescent="0.3">
      <c r="A31" t="s">
        <v>336</v>
      </c>
      <c r="B31">
        <v>8</v>
      </c>
      <c r="C31" t="s">
        <v>337</v>
      </c>
      <c r="D31">
        <v>0</v>
      </c>
      <c r="E31">
        <v>0</v>
      </c>
      <c r="F31">
        <v>315000</v>
      </c>
    </row>
    <row r="32" spans="1:6" x14ac:dyDescent="0.3">
      <c r="A32" t="s">
        <v>148</v>
      </c>
      <c r="B32">
        <v>0</v>
      </c>
      <c r="C32" t="s">
        <v>149</v>
      </c>
      <c r="D32">
        <v>0</v>
      </c>
      <c r="E32">
        <v>0</v>
      </c>
      <c r="F32">
        <v>602000</v>
      </c>
    </row>
    <row r="33" spans="1:6" x14ac:dyDescent="0.3">
      <c r="A33" t="s">
        <v>338</v>
      </c>
      <c r="B33">
        <v>4</v>
      </c>
      <c r="C33" t="s">
        <v>339</v>
      </c>
      <c r="D33">
        <v>0</v>
      </c>
      <c r="E33">
        <v>0</v>
      </c>
      <c r="F33">
        <v>62059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5"/>
  <sheetViews>
    <sheetView workbookViewId="0">
      <selection activeCell="C18" sqref="C18"/>
    </sheetView>
  </sheetViews>
  <sheetFormatPr baseColWidth="10" defaultColWidth="8.88671875" defaultRowHeight="14.4" x14ac:dyDescent="0.3"/>
  <cols>
    <col min="1" max="1" width="11.77734375" bestFit="1" customWidth="1"/>
    <col min="2" max="2" width="3.33203125" bestFit="1" customWidth="1"/>
    <col min="3" max="3" width="31.88671875" bestFit="1" customWidth="1"/>
    <col min="4" max="4" width="4.88671875" bestFit="1" customWidth="1"/>
    <col min="5" max="5" width="3.77734375" bestFit="1" customWidth="1"/>
    <col min="6" max="6" width="12" bestFit="1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 t="s">
        <v>340</v>
      </c>
      <c r="C2" t="s">
        <v>341</v>
      </c>
      <c r="D2">
        <v>0</v>
      </c>
      <c r="E2">
        <v>0</v>
      </c>
      <c r="F2">
        <v>28732133.309999999</v>
      </c>
    </row>
    <row r="3" spans="1:6" x14ac:dyDescent="0.3">
      <c r="A3" t="s">
        <v>342</v>
      </c>
      <c r="C3" t="s">
        <v>343</v>
      </c>
      <c r="D3">
        <v>0</v>
      </c>
      <c r="E3">
        <v>0</v>
      </c>
      <c r="F3">
        <v>5841200</v>
      </c>
    </row>
    <row r="4" spans="1:6" x14ac:dyDescent="0.3">
      <c r="A4" t="s">
        <v>344</v>
      </c>
      <c r="C4" t="s">
        <v>345</v>
      </c>
      <c r="D4">
        <v>0</v>
      </c>
      <c r="E4">
        <v>0</v>
      </c>
      <c r="F4">
        <v>1358000</v>
      </c>
    </row>
    <row r="5" spans="1:6" x14ac:dyDescent="0.3">
      <c r="A5" t="s">
        <v>346</v>
      </c>
      <c r="C5" t="s">
        <v>347</v>
      </c>
      <c r="D5">
        <v>0</v>
      </c>
      <c r="E5">
        <v>0</v>
      </c>
      <c r="F5">
        <v>13236800.01</v>
      </c>
    </row>
    <row r="6" spans="1:6" x14ac:dyDescent="0.3">
      <c r="A6" t="s">
        <v>12</v>
      </c>
      <c r="C6" t="s">
        <v>348</v>
      </c>
      <c r="D6">
        <v>0</v>
      </c>
      <c r="E6">
        <v>0</v>
      </c>
      <c r="F6">
        <v>19836349.98</v>
      </c>
    </row>
    <row r="7" spans="1:6" x14ac:dyDescent="0.3">
      <c r="A7" t="s">
        <v>349</v>
      </c>
      <c r="C7" t="s">
        <v>350</v>
      </c>
      <c r="D7">
        <v>0</v>
      </c>
      <c r="E7">
        <v>0</v>
      </c>
      <c r="F7">
        <v>22858799.98</v>
      </c>
    </row>
    <row r="8" spans="1:6" x14ac:dyDescent="0.3">
      <c r="A8" t="s">
        <v>349</v>
      </c>
      <c r="C8" t="s">
        <v>351</v>
      </c>
      <c r="D8">
        <v>0</v>
      </c>
      <c r="E8">
        <v>0</v>
      </c>
      <c r="F8">
        <v>1450000</v>
      </c>
    </row>
    <row r="9" spans="1:6" x14ac:dyDescent="0.3">
      <c r="A9" t="s">
        <v>352</v>
      </c>
      <c r="C9" t="s">
        <v>353</v>
      </c>
      <c r="D9">
        <v>0</v>
      </c>
      <c r="E9">
        <v>0</v>
      </c>
      <c r="F9">
        <v>1634000</v>
      </c>
    </row>
    <row r="10" spans="1:6" x14ac:dyDescent="0.3">
      <c r="A10" t="s">
        <v>354</v>
      </c>
      <c r="C10" t="s">
        <v>355</v>
      </c>
      <c r="D10">
        <v>0</v>
      </c>
      <c r="E10">
        <v>0</v>
      </c>
      <c r="F10">
        <v>23587733.309999999</v>
      </c>
    </row>
    <row r="11" spans="1:6" x14ac:dyDescent="0.3">
      <c r="A11" t="s">
        <v>356</v>
      </c>
      <c r="C11" t="s">
        <v>357</v>
      </c>
      <c r="D11">
        <v>0</v>
      </c>
      <c r="E11">
        <v>0</v>
      </c>
      <c r="F11">
        <v>38540799.310000002</v>
      </c>
    </row>
    <row r="12" spans="1:6" x14ac:dyDescent="0.3">
      <c r="A12" t="s">
        <v>358</v>
      </c>
      <c r="C12" t="s">
        <v>359</v>
      </c>
      <c r="D12">
        <v>0</v>
      </c>
      <c r="E12">
        <v>0</v>
      </c>
      <c r="F12">
        <v>30772466.640000001</v>
      </c>
    </row>
    <row r="13" spans="1:6" x14ac:dyDescent="0.3">
      <c r="A13" t="s">
        <v>360</v>
      </c>
      <c r="C13" t="s">
        <v>361</v>
      </c>
      <c r="D13">
        <v>0</v>
      </c>
      <c r="E13">
        <v>0</v>
      </c>
      <c r="F13">
        <v>41295132.640000001</v>
      </c>
    </row>
    <row r="15" spans="1:6" x14ac:dyDescent="0.3">
      <c r="F15">
        <f>SUM(F2:F14)</f>
        <v>229143415.18000001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Ingresos</vt:lpstr>
      <vt:lpstr>Notas Crédito</vt:lpstr>
      <vt:lpstr>Devoluciones</vt:lpstr>
      <vt:lpstr>Gastos</vt:lpstr>
      <vt:lpstr>Gastos Excluidos</vt:lpstr>
      <vt:lpstr>Nominas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Luis Miguel Martinez</cp:lastModifiedBy>
  <dcterms:created xsi:type="dcterms:W3CDTF">2026-06-11T17:08:17Z</dcterms:created>
  <dcterms:modified xsi:type="dcterms:W3CDTF">2026-06-11T18:30:31Z</dcterms:modified>
</cp:coreProperties>
</file>